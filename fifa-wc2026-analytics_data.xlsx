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/>
  <mc:AlternateContent xmlns:mc="http://schemas.openxmlformats.org/markup-compatibility/2006">
    <mc:Choice Requires="x15">
      <x15ac:absPath xmlns:x15ac="http://schemas.microsoft.com/office/spreadsheetml/2010/11/ac" url="/Users/stanleyku/Downloads/"/>
    </mc:Choice>
  </mc:AlternateContent>
  <xr:revisionPtr revIDLastSave="0" documentId="13_ncr:1_{1F2A7A91-FDF0-BF44-916A-0AC7CB539EA4}" xr6:coauthVersionLast="47" xr6:coauthVersionMax="47" xr10:uidLastSave="{00000000-0000-0000-0000-000000000000}"/>
  <bookViews>
    <workbookView xWindow="-4780" yWindow="-23500" windowWidth="38400" windowHeight="23500" activeTab="3" xr2:uid="{00000000-000D-0000-FFFF-FFFF00000000}"/>
  </bookViews>
  <sheets>
    <sheet name="Teams" sheetId="1" r:id="rId1"/>
    <sheet name="Row-set" sheetId="3" r:id="rId2"/>
    <sheet name="Stadiums" sheetId="2" r:id="rId3"/>
    <sheet name="Spectator Index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4" l="1"/>
  <c r="D50" i="4"/>
  <c r="C50" i="4"/>
  <c r="E49" i="4"/>
  <c r="D49" i="4"/>
  <c r="C49" i="4"/>
  <c r="C48" i="4"/>
  <c r="E47" i="4"/>
  <c r="D47" i="4"/>
  <c r="C47" i="4"/>
  <c r="E46" i="4"/>
  <c r="C46" i="4"/>
  <c r="E45" i="4"/>
  <c r="D45" i="4"/>
  <c r="C45" i="4"/>
  <c r="E44" i="4"/>
  <c r="D44" i="4"/>
  <c r="C44" i="4"/>
  <c r="E43" i="4"/>
  <c r="D43" i="4"/>
  <c r="C43" i="4"/>
  <c r="E42" i="4"/>
  <c r="D42" i="4"/>
  <c r="C42" i="4"/>
  <c r="E41" i="4"/>
  <c r="D41" i="4"/>
  <c r="C41" i="4"/>
  <c r="E40" i="4"/>
  <c r="D40" i="4"/>
  <c r="C40" i="4"/>
  <c r="E39" i="4"/>
  <c r="C39" i="4"/>
  <c r="D38" i="4"/>
  <c r="C38" i="4"/>
  <c r="D37" i="4"/>
  <c r="C37" i="4"/>
  <c r="C36" i="4"/>
  <c r="E35" i="4"/>
  <c r="C35" i="4"/>
  <c r="E34" i="4"/>
  <c r="D34" i="4"/>
  <c r="C34" i="4"/>
  <c r="E33" i="4"/>
  <c r="D33" i="4"/>
  <c r="C33" i="4"/>
  <c r="E32" i="4"/>
  <c r="D32" i="4"/>
  <c r="C32" i="4"/>
  <c r="E31" i="4"/>
  <c r="D31" i="4"/>
  <c r="C31" i="4"/>
  <c r="D30" i="4"/>
  <c r="C30" i="4"/>
  <c r="D29" i="4"/>
  <c r="C29" i="4"/>
  <c r="D28" i="4"/>
  <c r="C28" i="4"/>
  <c r="E27" i="4"/>
  <c r="C27" i="4"/>
  <c r="E26" i="4"/>
  <c r="D26" i="4"/>
  <c r="C26" i="4"/>
  <c r="E25" i="4"/>
  <c r="D25" i="4"/>
  <c r="C25" i="4"/>
  <c r="E23" i="4"/>
  <c r="D23" i="4"/>
  <c r="C23" i="4"/>
  <c r="E22" i="4"/>
  <c r="C22" i="4"/>
  <c r="D21" i="4"/>
  <c r="C21" i="4"/>
  <c r="D20" i="4"/>
  <c r="C20" i="4"/>
  <c r="D19" i="4"/>
  <c r="C19" i="4"/>
  <c r="D18" i="4"/>
  <c r="C18" i="4"/>
  <c r="D17" i="4"/>
  <c r="C17" i="4"/>
  <c r="E16" i="4"/>
  <c r="D16" i="4"/>
  <c r="C16" i="4"/>
  <c r="D15" i="4"/>
  <c r="C15" i="4"/>
  <c r="E14" i="4"/>
  <c r="D14" i="4"/>
  <c r="C14" i="4"/>
  <c r="D13" i="4"/>
  <c r="C13" i="4"/>
  <c r="D12" i="4"/>
  <c r="C12" i="4"/>
  <c r="D11" i="4"/>
  <c r="C11" i="4"/>
  <c r="E10" i="4"/>
  <c r="D10" i="4"/>
  <c r="C10" i="4"/>
  <c r="D9" i="4"/>
  <c r="C9" i="4"/>
  <c r="D8" i="4"/>
  <c r="C8" i="4"/>
  <c r="D7" i="4"/>
  <c r="C7" i="4"/>
  <c r="C6" i="4"/>
  <c r="D5" i="4"/>
  <c r="C5" i="4"/>
  <c r="D4" i="4"/>
  <c r="C4" i="4"/>
  <c r="D3" i="4"/>
  <c r="C3" i="4"/>
</calcChain>
</file>

<file path=xl/sharedStrings.xml><?xml version="1.0" encoding="utf-8"?>
<sst xmlns="http://schemas.openxmlformats.org/spreadsheetml/2006/main" count="662" uniqueCount="408">
  <si>
    <t>Nation</t>
  </si>
  <si>
    <t>Code</t>
  </si>
  <si>
    <t>Confederation</t>
  </si>
  <si>
    <t>FIFA points</t>
  </si>
  <si>
    <t>Spectator index</t>
  </si>
  <si>
    <t>Pot</t>
  </si>
  <si>
    <t>Spain</t>
  </si>
  <si>
    <t>ESP</t>
  </si>
  <si>
    <t>UEFA</t>
  </si>
  <si>
    <t>Argentina</t>
  </si>
  <si>
    <t>ARG</t>
  </si>
  <si>
    <t>CONMEBOL</t>
  </si>
  <si>
    <t>France</t>
  </si>
  <si>
    <t>FRA</t>
  </si>
  <si>
    <t>England</t>
  </si>
  <si>
    <t>ENG</t>
  </si>
  <si>
    <t>Brazil</t>
  </si>
  <si>
    <t>BRA</t>
  </si>
  <si>
    <t>Portugal</t>
  </si>
  <si>
    <t>POR</t>
  </si>
  <si>
    <t>Netherlands</t>
  </si>
  <si>
    <t>NED</t>
  </si>
  <si>
    <t>Morocco</t>
  </si>
  <si>
    <t>MAR</t>
  </si>
  <si>
    <t>CAF</t>
  </si>
  <si>
    <t>Belgium</t>
  </si>
  <si>
    <t>BEL</t>
  </si>
  <si>
    <t>Germany</t>
  </si>
  <si>
    <t>GER</t>
  </si>
  <si>
    <t>Croatia</t>
  </si>
  <si>
    <t>CRO</t>
  </si>
  <si>
    <t>Senegal</t>
  </si>
  <si>
    <t>SEN</t>
  </si>
  <si>
    <t>Italy</t>
  </si>
  <si>
    <t>ITA</t>
  </si>
  <si>
    <t>Colombia</t>
  </si>
  <si>
    <t>COL</t>
  </si>
  <si>
    <t>United States</t>
  </si>
  <si>
    <t>USA</t>
  </si>
  <si>
    <t>CONCACAF</t>
  </si>
  <si>
    <t>Mexico</t>
  </si>
  <si>
    <t>MEX</t>
  </si>
  <si>
    <t>Uruguay</t>
  </si>
  <si>
    <t>URU</t>
  </si>
  <si>
    <t>Switzerland</t>
  </si>
  <si>
    <t>SUI</t>
  </si>
  <si>
    <t>Japan</t>
  </si>
  <si>
    <t>JPN</t>
  </si>
  <si>
    <t>AFC</t>
  </si>
  <si>
    <t>Iran</t>
  </si>
  <si>
    <t>IRN</t>
  </si>
  <si>
    <t>Denmark</t>
  </si>
  <si>
    <t>DEN</t>
  </si>
  <si>
    <t>South Korea</t>
  </si>
  <si>
    <t>KOR</t>
  </si>
  <si>
    <t>Ecuador</t>
  </si>
  <si>
    <t>ECU</t>
  </si>
  <si>
    <t>Austria</t>
  </si>
  <si>
    <t>AUT</t>
  </si>
  <si>
    <t>Turkey</t>
  </si>
  <si>
    <t>TUR</t>
  </si>
  <si>
    <t>Australia</t>
  </si>
  <si>
    <t>AUS</t>
  </si>
  <si>
    <t>Algeria</t>
  </si>
  <si>
    <t>ALG</t>
  </si>
  <si>
    <t>Canada</t>
  </si>
  <si>
    <t>CAN</t>
  </si>
  <si>
    <t>Egypt</t>
  </si>
  <si>
    <t>EGY</t>
  </si>
  <si>
    <t>Norway</t>
  </si>
  <si>
    <t>NOR</t>
  </si>
  <si>
    <t>Panama</t>
  </si>
  <si>
    <t>PAN</t>
  </si>
  <si>
    <t>Ukraine</t>
  </si>
  <si>
    <t>UKR</t>
  </si>
  <si>
    <t>Ivory Coast</t>
  </si>
  <si>
    <t>CIV</t>
  </si>
  <si>
    <t>Scotland</t>
  </si>
  <si>
    <t>SCO</t>
  </si>
  <si>
    <t>Paraguay</t>
  </si>
  <si>
    <t>PAR</t>
  </si>
  <si>
    <t>Tunisia</t>
  </si>
  <si>
    <t>TUN</t>
  </si>
  <si>
    <t>DR Congo</t>
  </si>
  <si>
    <t>COD</t>
  </si>
  <si>
    <t>Uzbekistan</t>
  </si>
  <si>
    <t>UZB</t>
  </si>
  <si>
    <t>Qatar</t>
  </si>
  <si>
    <t>QAT</t>
  </si>
  <si>
    <t>Iraq</t>
  </si>
  <si>
    <t>IRQ</t>
  </si>
  <si>
    <t>South Africa</t>
  </si>
  <si>
    <t>RSA</t>
  </si>
  <si>
    <t>Saudi Arabia</t>
  </si>
  <si>
    <t>KSA</t>
  </si>
  <si>
    <t>Jordan</t>
  </si>
  <si>
    <t>JOR</t>
  </si>
  <si>
    <t>Cape Verde</t>
  </si>
  <si>
    <t>CPV</t>
  </si>
  <si>
    <t>Ghana</t>
  </si>
  <si>
    <t>GHA</t>
  </si>
  <si>
    <t>Curaçao</t>
  </si>
  <si>
    <t>CUW</t>
  </si>
  <si>
    <t>Haiti</t>
  </si>
  <si>
    <t>HAI</t>
  </si>
  <si>
    <t>New Zealand</t>
  </si>
  <si>
    <t>NZL</t>
  </si>
  <si>
    <t>OFC</t>
  </si>
  <si>
    <t>ID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</si>
  <si>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</si>
  <si>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</si>
  <si>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</si>
  <si>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</si>
  <si>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</si>
  <si>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</si>
  <si>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</si>
  <si>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</si>
  <si>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</si>
  <si>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</si>
  <si>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</si>
  <si>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</si>
  <si>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</si>
  <si>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</si>
  <si>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</si>
  <si>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</si>
  <si>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</si>
  <si>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Total</t>
  </si>
  <si>
    <t>D24</t>
  </si>
  <si>
    <t>B13</t>
  </si>
  <si>
    <t>G34</t>
  </si>
  <si>
    <t>B12</t>
  </si>
  <si>
    <t>G14</t>
  </si>
  <si>
    <t>B14</t>
  </si>
  <si>
    <t>L34</t>
  </si>
  <si>
    <t>E13</t>
  </si>
  <si>
    <t>L23</t>
  </si>
  <si>
    <t>I24</t>
  </si>
  <si>
    <t>A13</t>
  </si>
  <si>
    <t>K23</t>
  </si>
  <si>
    <t>A14</t>
  </si>
  <si>
    <t>F34</t>
  </si>
  <si>
    <t>F23</t>
  </si>
  <si>
    <t>A23</t>
  </si>
  <si>
    <t>A24</t>
  </si>
  <si>
    <t>A12</t>
  </si>
  <si>
    <t>K24</t>
  </si>
  <si>
    <t>H12</t>
  </si>
  <si>
    <t>C12</t>
  </si>
  <si>
    <t>I12</t>
  </si>
  <si>
    <t>I23</t>
  </si>
  <si>
    <t>E12</t>
  </si>
  <si>
    <t>L13</t>
  </si>
  <si>
    <t>F12</t>
  </si>
  <si>
    <t>L12</t>
  </si>
  <si>
    <t>J12</t>
  </si>
  <si>
    <t>F24</t>
  </si>
  <si>
    <t>J14</t>
  </si>
  <si>
    <t>J13</t>
  </si>
  <si>
    <t>E24</t>
  </si>
  <si>
    <t>F13</t>
  </si>
  <si>
    <t>J23</t>
  </si>
  <si>
    <t>E14</t>
  </si>
  <si>
    <t>K14</t>
  </si>
  <si>
    <t>F14</t>
  </si>
  <si>
    <t>K13</t>
  </si>
  <si>
    <t>H34</t>
  </si>
  <si>
    <t>H14</t>
  </si>
  <si>
    <t>A34</t>
  </si>
  <si>
    <t>H13</t>
  </si>
  <si>
    <t>C24</t>
  </si>
  <si>
    <t>K34</t>
  </si>
  <si>
    <t>D13</t>
  </si>
  <si>
    <t>G24</t>
  </si>
  <si>
    <t>B24</t>
  </si>
  <si>
    <t>G12</t>
  </si>
  <si>
    <t>D14</t>
  </si>
  <si>
    <t>E23</t>
  </si>
  <si>
    <t>C14</t>
  </si>
  <si>
    <t>I14</t>
  </si>
  <si>
    <t>E34</t>
  </si>
  <si>
    <t>L24</t>
  </si>
  <si>
    <t>G13</t>
  </si>
  <si>
    <t>D12</t>
  </si>
  <si>
    <t>B34</t>
  </si>
  <si>
    <t>G23</t>
  </si>
  <si>
    <t>B23</t>
  </si>
  <si>
    <t>J24</t>
  </si>
  <si>
    <t>D34</t>
  </si>
  <si>
    <t>J34</t>
  </si>
  <si>
    <t>D23</t>
  </si>
  <si>
    <t>C34</t>
  </si>
  <si>
    <t>I34</t>
  </si>
  <si>
    <t>C23</t>
  </si>
  <si>
    <t>L14</t>
  </si>
  <si>
    <t>I13</t>
  </si>
  <si>
    <t>H23</t>
  </si>
  <si>
    <t>H24</t>
  </si>
  <si>
    <t>C13</t>
  </si>
  <si>
    <t>K12</t>
  </si>
  <si>
    <t>Stadium</t>
  </si>
  <si>
    <t>City</t>
  </si>
  <si>
    <t>Capacity</t>
  </si>
  <si>
    <t>row_set popularity</t>
  </si>
  <si>
    <t>BC Place</t>
  </si>
  <si>
    <t>Vancouver</t>
  </si>
  <si>
    <t>BMO Field</t>
  </si>
  <si>
    <t>Toronto</t>
  </si>
  <si>
    <t>Estadio Azteca</t>
  </si>
  <si>
    <t>Mexico City</t>
  </si>
  <si>
    <t>Estadio BBVA</t>
  </si>
  <si>
    <t>Monterrey</t>
  </si>
  <si>
    <t>Estadio Akron</t>
  </si>
  <si>
    <t>Guadalajara</t>
  </si>
  <si>
    <t>MetLife Stadium</t>
  </si>
  <si>
    <t>New York</t>
  </si>
  <si>
    <t>AT&amp;T Stadium</t>
  </si>
  <si>
    <t>Dallas</t>
  </si>
  <si>
    <t>Arrowhead Stadium</t>
  </si>
  <si>
    <t>Kansas City</t>
  </si>
  <si>
    <t>NRG Stadium</t>
  </si>
  <si>
    <t>Houston</t>
  </si>
  <si>
    <t>Mercedes-Benz Stadium</t>
  </si>
  <si>
    <t>Atlanta</t>
  </si>
  <si>
    <t>SoFi Stadium</t>
  </si>
  <si>
    <t>Los Angeles</t>
  </si>
  <si>
    <t>Lincoln Financial Field</t>
  </si>
  <si>
    <t>Philadelphia</t>
  </si>
  <si>
    <t>Lumen Field</t>
  </si>
  <si>
    <t>Seattle</t>
  </si>
  <si>
    <t>Levi's Stadium</t>
  </si>
  <si>
    <t>San Francisco</t>
  </si>
  <si>
    <t>Gillette Stadium</t>
  </si>
  <si>
    <t>Boston</t>
  </si>
  <si>
    <t>Hard Rock Stadium</t>
  </si>
  <si>
    <t>Miami</t>
  </si>
  <si>
    <t>Spectator Index Calculaiton</t>
  </si>
  <si>
    <t>2022 World Cup</t>
  </si>
  <si>
    <t>2022 Spectator Index (%)</t>
  </si>
  <si>
    <t>GDP per capita</t>
  </si>
  <si>
    <t>2026 Spectatoor Index (%)</t>
  </si>
  <si>
    <t>Spectatoor Index(%)</t>
  </si>
  <si>
    <t>GDP per capita (USD)</t>
  </si>
  <si>
    <t>2022 Qatar Data</t>
  </si>
  <si>
    <t>Albania</t>
  </si>
  <si>
    <t>Andorra</t>
  </si>
  <si>
    <t>Angola</t>
  </si>
  <si>
    <t>Korea Republic</t>
  </si>
  <si>
    <t>Antigua and Barbuda</t>
  </si>
  <si>
    <t>Cameroon</t>
  </si>
  <si>
    <t>Armenia</t>
  </si>
  <si>
    <t>Reference Algeria</t>
  </si>
  <si>
    <t>Aruba</t>
  </si>
  <si>
    <t>Nigeria</t>
  </si>
  <si>
    <t>Costa Rica</t>
  </si>
  <si>
    <t>Azerbaijan</t>
  </si>
  <si>
    <t>Honduras</t>
  </si>
  <si>
    <t>The Bahamas</t>
  </si>
  <si>
    <t>Bahrain</t>
  </si>
  <si>
    <t>Reference Brazil</t>
  </si>
  <si>
    <t>Bangladesh</t>
  </si>
  <si>
    <t>Host</t>
  </si>
  <si>
    <t>Barbados</t>
  </si>
  <si>
    <t>Belarus</t>
  </si>
  <si>
    <t>Chile</t>
  </si>
  <si>
    <t>Reference Germany (adjust to 100)</t>
  </si>
  <si>
    <t>Belize</t>
  </si>
  <si>
    <t>Benin</t>
  </si>
  <si>
    <t>Reference Japan</t>
  </si>
  <si>
    <t>Bhutan</t>
  </si>
  <si>
    <t>Reference Germany</t>
  </si>
  <si>
    <t>Bolivia</t>
  </si>
  <si>
    <t>Czech Republic</t>
  </si>
  <si>
    <t>Bosnia and Herzegovina</t>
  </si>
  <si>
    <t>Botswana</t>
  </si>
  <si>
    <t>Brunei Darussalam</t>
  </si>
  <si>
    <t>Bulgaria</t>
  </si>
  <si>
    <t>Burkina Faso</t>
  </si>
  <si>
    <t>Burundi</t>
  </si>
  <si>
    <t>Russia</t>
  </si>
  <si>
    <t>Cabo Verde</t>
  </si>
  <si>
    <t>Serbia</t>
  </si>
  <si>
    <t>Cambodia</t>
  </si>
  <si>
    <t>Reference Mexico</t>
  </si>
  <si>
    <t>Sweden</t>
  </si>
  <si>
    <t>Central African Republic</t>
  </si>
  <si>
    <t>Chad</t>
  </si>
  <si>
    <t>China</t>
  </si>
  <si>
    <t>Comoros</t>
  </si>
  <si>
    <t>Democratic Republic of the Congo</t>
  </si>
  <si>
    <t>Republic of Congo</t>
  </si>
  <si>
    <t>Côte d'Ivoire</t>
  </si>
  <si>
    <t>Cyprus</t>
  </si>
  <si>
    <t>Djibouti</t>
  </si>
  <si>
    <t>Dominica</t>
  </si>
  <si>
    <t>Dominican Republic</t>
  </si>
  <si>
    <t>El Salvador</t>
  </si>
  <si>
    <t>Equatorial Guinea</t>
  </si>
  <si>
    <t>Estonia</t>
  </si>
  <si>
    <t>Eswatini</t>
  </si>
  <si>
    <t>Ethiopia</t>
  </si>
  <si>
    <t>Fiji</t>
  </si>
  <si>
    <t>Finland</t>
  </si>
  <si>
    <t>Gabon</t>
  </si>
  <si>
    <t>The Gambia</t>
  </si>
  <si>
    <t>Georgia</t>
  </si>
  <si>
    <t>Greece</t>
  </si>
  <si>
    <t>Grenada</t>
  </si>
  <si>
    <t>Guatemala</t>
  </si>
  <si>
    <t>Guinea</t>
  </si>
  <si>
    <t>Guinea-Bissau</t>
  </si>
  <si>
    <t>Guyana</t>
  </si>
  <si>
    <t>Hong Kong SAR</t>
  </si>
  <si>
    <t>Hungary</t>
  </si>
  <si>
    <t>Iceland</t>
  </si>
  <si>
    <t>India</t>
  </si>
  <si>
    <t>Indonesia</t>
  </si>
  <si>
    <t>Islamic Republic of Iran</t>
  </si>
  <si>
    <t>Ireland</t>
  </si>
  <si>
    <t>Israel</t>
  </si>
  <si>
    <t>Jamaica</t>
  </si>
  <si>
    <t>Kazakhstan</t>
  </si>
  <si>
    <t>Kenya</t>
  </si>
  <si>
    <t>Kiribati</t>
  </si>
  <si>
    <t>Korea</t>
  </si>
  <si>
    <t>Kosovo</t>
  </si>
  <si>
    <t>Kuwait</t>
  </si>
  <si>
    <t>Kyrgyz Republic</t>
  </si>
  <si>
    <t>Lao P.D.R.</t>
  </si>
  <si>
    <t>Latvia</t>
  </si>
  <si>
    <t>Lesotho</t>
  </si>
  <si>
    <t>Liberia</t>
  </si>
  <si>
    <t>Libya</t>
  </si>
  <si>
    <t>Lithuania</t>
  </si>
  <si>
    <t>Luxembourg</t>
  </si>
  <si>
    <t>Macao SAR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</si>
  <si>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</si>
  <si>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</si>
  <si>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</si>
  <si>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</si>
  <si>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</si>
  <si>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</si>
  <si>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</si>
  <si>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</si>
  <si>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</si>
  <si>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Micronesia</t>
  </si>
  <si>
    <t>Moldova</t>
  </si>
  <si>
    <t>Mongolia</t>
  </si>
  <si>
    <t>Montenegro</t>
  </si>
  <si>
    <t>Mozambique</t>
  </si>
  <si>
    <t>Myanmar</t>
  </si>
  <si>
    <t>Namibia</t>
  </si>
  <si>
    <t>Nauru</t>
  </si>
  <si>
    <t>Nepal</t>
  </si>
  <si>
    <t>Nicaragua</t>
  </si>
  <si>
    <t>Niger</t>
  </si>
  <si>
    <t>North Macedonia</t>
  </si>
  <si>
    <t>Oman</t>
  </si>
  <si>
    <t>Palau</t>
  </si>
  <si>
    <t>Papua New Guinea</t>
  </si>
  <si>
    <t>Peru</t>
  </si>
  <si>
    <t>Philippines</t>
  </si>
  <si>
    <t>Poland</t>
  </si>
  <si>
    <t>Puerto Rico</t>
  </si>
  <si>
    <t>Romania</t>
  </si>
  <si>
    <t>Rwanda</t>
  </si>
  <si>
    <t>Samoa</t>
  </si>
  <si>
    <t>San Marino</t>
  </si>
  <si>
    <t>São Tomé and Príncipe</t>
  </si>
  <si>
    <t>Seychelles</t>
  </si>
  <si>
    <t>Sierra Leone</t>
  </si>
  <si>
    <t>Singapore</t>
  </si>
  <si>
    <t>Slovak Republic</t>
  </si>
  <si>
    <t>Slovenia</t>
  </si>
  <si>
    <t>Solomon Islands</t>
  </si>
  <si>
    <t>Somalia</t>
  </si>
  <si>
    <t>South Sudan</t>
  </si>
  <si>
    <t>St. Kitts and Nevis</t>
  </si>
  <si>
    <t>St. Lucia</t>
  </si>
  <si>
    <t>St. Vincent and the Grenadines</t>
  </si>
  <si>
    <t>Sudan</t>
  </si>
  <si>
    <t>Suriname</t>
  </si>
  <si>
    <t>Taiwan Province of China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</si>
  <si>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</si>
  <si>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</si>
  <si>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</si>
  <si>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</si>
  <si>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</si>
  <si>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</si>
  <si>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</si>
  <si>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Türkiye</t>
  </si>
  <si>
    <t>Turkmenistan</t>
  </si>
  <si>
    <t>Tuvalu</t>
  </si>
  <si>
    <t>Uganda</t>
  </si>
  <si>
    <t>United Arab Emirates</t>
  </si>
  <si>
    <t>United Kingdom</t>
  </si>
  <si>
    <t>Vanuatu</t>
  </si>
  <si>
    <t>Venezuela</t>
  </si>
  <si>
    <t>Vietnam</t>
  </si>
  <si>
    <t>Yemen</t>
  </si>
  <si>
    <t>Zambia</t>
  </si>
  <si>
    <t>Zimbabwe</t>
  </si>
  <si>
    <t>West Bank and Gaza</t>
  </si>
  <si>
    <t>n/a</t>
  </si>
  <si>
    <t>2024 World Bank / Reference Mexico (adjust to 100)</t>
    <phoneticPr fontId="3" type="noConversion"/>
  </si>
  <si>
    <t>Reference England</t>
    <phoneticPr fontId="3" type="noConversion"/>
  </si>
  <si>
    <t>Reference Australia</t>
    <phoneticPr fontId="3" type="noConversion"/>
  </si>
  <si>
    <t>2026 IMF Projection</t>
    <phoneticPr fontId="3" type="noConversion"/>
  </si>
  <si>
    <t>Notes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</si>
</sst>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charset val="134"/>
      <scheme val="minor"/>
    </font>
    <font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0" fillId="2" borderId="0" xfId="0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zoomScale="101" zoomScaleNormal="101" workbookViewId="0">
      <selection activeCell="H1" sqref="H1:H1048576"/>
    </sheetView>
  </sheetViews>
  <sheetFormatPr baseColWidth="10" defaultColWidth="9" defaultRowHeight="14"/>
  <cols>
    <col min="1" max="1" width="11.796875" customWidth="1"/>
    <col min="3" max="3" width="12.59765625" customWidth="1"/>
    <col min="4" max="4" width="9.796875" customWidth="1"/>
    <col min="5" max="5" width="15.19921875" style="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1877.18</v>
      </c>
      <c r="E2" s="3">
        <v>51</v>
      </c>
      <c r="F2">
        <v>1</v>
      </c>
    </row>
    <row r="3" spans="1:6">
      <c r="A3" t="s">
        <v>9</v>
      </c>
      <c r="B3" t="s">
        <v>10</v>
      </c>
      <c r="C3" t="s">
        <v>11</v>
      </c>
      <c r="D3">
        <v>1873.33</v>
      </c>
      <c r="E3" s="3">
        <v>54</v>
      </c>
      <c r="F3">
        <v>1</v>
      </c>
    </row>
    <row r="4" spans="1:6">
      <c r="A4" t="s">
        <v>12</v>
      </c>
      <c r="B4" t="s">
        <v>13</v>
      </c>
      <c r="C4" t="s">
        <v>8</v>
      </c>
      <c r="D4">
        <v>1870</v>
      </c>
      <c r="E4" s="3">
        <v>51</v>
      </c>
      <c r="F4">
        <v>1</v>
      </c>
    </row>
    <row r="5" spans="1:6">
      <c r="A5" t="s">
        <v>14</v>
      </c>
      <c r="B5" t="s">
        <v>15</v>
      </c>
      <c r="C5" t="s">
        <v>8</v>
      </c>
      <c r="D5">
        <v>1834.12</v>
      </c>
      <c r="E5" s="3">
        <v>100</v>
      </c>
      <c r="F5">
        <v>1</v>
      </c>
    </row>
    <row r="6" spans="1:6">
      <c r="A6" t="s">
        <v>16</v>
      </c>
      <c r="B6" t="s">
        <v>17</v>
      </c>
      <c r="C6" t="s">
        <v>11</v>
      </c>
      <c r="D6">
        <v>1760.46</v>
      </c>
      <c r="E6" s="3">
        <v>94</v>
      </c>
      <c r="F6">
        <v>1</v>
      </c>
    </row>
    <row r="7" spans="1:6">
      <c r="A7" t="s">
        <v>18</v>
      </c>
      <c r="B7" t="s">
        <v>19</v>
      </c>
      <c r="C7" t="s">
        <v>8</v>
      </c>
      <c r="D7">
        <v>1760.38</v>
      </c>
      <c r="E7" s="3">
        <v>34</v>
      </c>
      <c r="F7">
        <v>1</v>
      </c>
    </row>
    <row r="8" spans="1:6">
      <c r="A8" t="s">
        <v>20</v>
      </c>
      <c r="B8" t="s">
        <v>21</v>
      </c>
      <c r="C8" t="s">
        <v>8</v>
      </c>
      <c r="D8">
        <v>1756.27</v>
      </c>
      <c r="E8" s="3">
        <v>55</v>
      </c>
      <c r="F8">
        <v>1</v>
      </c>
    </row>
    <row r="9" spans="1:6">
      <c r="A9" t="s">
        <v>22</v>
      </c>
      <c r="B9" t="s">
        <v>23</v>
      </c>
      <c r="C9" t="s">
        <v>24</v>
      </c>
      <c r="D9">
        <v>1736.57</v>
      </c>
      <c r="E9" s="3">
        <v>41.210371031553301</v>
      </c>
      <c r="F9">
        <v>1</v>
      </c>
    </row>
    <row r="10" spans="1:6">
      <c r="A10" t="s">
        <v>25</v>
      </c>
      <c r="B10" t="s">
        <v>26</v>
      </c>
      <c r="C10" t="s">
        <v>8</v>
      </c>
      <c r="D10">
        <v>1730.71</v>
      </c>
      <c r="E10" s="3">
        <v>38</v>
      </c>
      <c r="F10">
        <v>1</v>
      </c>
    </row>
    <row r="11" spans="1:6">
      <c r="A11" t="s">
        <v>27</v>
      </c>
      <c r="B11" t="s">
        <v>28</v>
      </c>
      <c r="C11" t="s">
        <v>8</v>
      </c>
      <c r="D11">
        <v>1724.15</v>
      </c>
      <c r="E11" s="3">
        <v>63</v>
      </c>
      <c r="F11">
        <v>2</v>
      </c>
    </row>
    <row r="12" spans="1:6">
      <c r="A12" t="s">
        <v>29</v>
      </c>
      <c r="B12" t="s">
        <v>30</v>
      </c>
      <c r="C12" t="s">
        <v>8</v>
      </c>
      <c r="D12">
        <v>1716.88</v>
      </c>
      <c r="E12" s="3">
        <v>6</v>
      </c>
      <c r="F12">
        <v>2</v>
      </c>
    </row>
    <row r="13" spans="1:6">
      <c r="A13" t="s">
        <v>31</v>
      </c>
      <c r="B13" t="s">
        <v>32</v>
      </c>
      <c r="C13" t="s">
        <v>24</v>
      </c>
      <c r="D13">
        <v>1706.83</v>
      </c>
      <c r="E13" s="3">
        <v>16.5807072969355</v>
      </c>
      <c r="F13">
        <v>2</v>
      </c>
    </row>
    <row r="14" spans="1:6">
      <c r="A14" t="s">
        <v>33</v>
      </c>
      <c r="B14" t="s">
        <v>34</v>
      </c>
      <c r="C14" t="s">
        <v>8</v>
      </c>
      <c r="D14">
        <v>1702.06</v>
      </c>
      <c r="E14" s="3">
        <v>51</v>
      </c>
      <c r="F14">
        <v>2</v>
      </c>
    </row>
    <row r="15" spans="1:6">
      <c r="A15" t="s">
        <v>35</v>
      </c>
      <c r="B15" t="s">
        <v>36</v>
      </c>
      <c r="C15" t="s">
        <v>11</v>
      </c>
      <c r="D15">
        <v>1701.3</v>
      </c>
      <c r="E15" s="3">
        <v>76.685030439767303</v>
      </c>
      <c r="F15">
        <v>2</v>
      </c>
    </row>
    <row r="16" spans="1:6">
      <c r="A16" t="s">
        <v>37</v>
      </c>
      <c r="B16" t="s">
        <v>38</v>
      </c>
      <c r="C16" t="s">
        <v>39</v>
      </c>
      <c r="D16">
        <v>1681.88</v>
      </c>
      <c r="E16" s="3">
        <v>100</v>
      </c>
      <c r="F16">
        <v>1</v>
      </c>
    </row>
    <row r="17" spans="1:6">
      <c r="A17" t="s">
        <v>40</v>
      </c>
      <c r="B17" t="s">
        <v>41</v>
      </c>
      <c r="C17" t="s">
        <v>39</v>
      </c>
      <c r="D17">
        <v>1675.75</v>
      </c>
      <c r="E17" s="3">
        <v>100</v>
      </c>
      <c r="F17">
        <v>1</v>
      </c>
    </row>
    <row r="18" spans="1:6">
      <c r="A18" t="s">
        <v>42</v>
      </c>
      <c r="B18" t="s">
        <v>43</v>
      </c>
      <c r="C18" t="s">
        <v>11</v>
      </c>
      <c r="D18">
        <v>1672.62</v>
      </c>
      <c r="E18" s="3">
        <v>9</v>
      </c>
      <c r="F18">
        <v>2</v>
      </c>
    </row>
    <row r="19" spans="1:6">
      <c r="A19" t="s">
        <v>44</v>
      </c>
      <c r="B19" t="s">
        <v>45</v>
      </c>
      <c r="C19" t="s">
        <v>8</v>
      </c>
      <c r="D19">
        <v>1654.69</v>
      </c>
      <c r="E19" s="3">
        <v>100</v>
      </c>
      <c r="F19">
        <v>2</v>
      </c>
    </row>
    <row r="20" spans="1:6">
      <c r="A20" t="s">
        <v>46</v>
      </c>
      <c r="B20" t="s">
        <v>47</v>
      </c>
      <c r="C20" t="s">
        <v>48</v>
      </c>
      <c r="D20">
        <v>1650.12</v>
      </c>
      <c r="E20" s="3">
        <v>29</v>
      </c>
      <c r="F20">
        <v>2</v>
      </c>
    </row>
    <row r="21" spans="1:6">
      <c r="A21" t="s">
        <v>49</v>
      </c>
      <c r="B21" t="s">
        <v>50</v>
      </c>
      <c r="C21" t="s">
        <v>48</v>
      </c>
      <c r="D21">
        <v>1617.02</v>
      </c>
      <c r="E21" s="3">
        <v>3.3237146628794401</v>
      </c>
      <c r="F21">
        <v>2</v>
      </c>
    </row>
    <row r="22" spans="1:6">
      <c r="A22" t="s">
        <v>51</v>
      </c>
      <c r="B22" t="s">
        <v>52</v>
      </c>
      <c r="C22" t="s">
        <v>8</v>
      </c>
      <c r="D22">
        <v>1616.75</v>
      </c>
      <c r="E22" s="3">
        <v>85.388142150145299</v>
      </c>
      <c r="F22">
        <v>2</v>
      </c>
    </row>
    <row r="23" spans="1:6">
      <c r="A23" t="s">
        <v>53</v>
      </c>
      <c r="B23" t="s">
        <v>54</v>
      </c>
      <c r="C23" t="s">
        <v>48</v>
      </c>
      <c r="D23">
        <v>1599.45</v>
      </c>
      <c r="E23" s="3">
        <v>13</v>
      </c>
      <c r="F23">
        <v>2</v>
      </c>
    </row>
    <row r="24" spans="1:6">
      <c r="A24" t="s">
        <v>55</v>
      </c>
      <c r="B24" t="s">
        <v>56</v>
      </c>
      <c r="C24" t="s">
        <v>11</v>
      </c>
      <c r="D24">
        <v>1591.73</v>
      </c>
      <c r="E24" s="3">
        <v>65.724401267710206</v>
      </c>
      <c r="F24">
        <v>2</v>
      </c>
    </row>
    <row r="25" spans="1:6">
      <c r="A25" t="s">
        <v>57</v>
      </c>
      <c r="B25" t="s">
        <v>58</v>
      </c>
      <c r="C25" t="s">
        <v>8</v>
      </c>
      <c r="D25">
        <v>1585.51</v>
      </c>
      <c r="E25" s="3">
        <v>65.354127789001694</v>
      </c>
      <c r="F25">
        <v>3</v>
      </c>
    </row>
    <row r="26" spans="1:6">
      <c r="A26" t="s">
        <v>59</v>
      </c>
      <c r="B26" t="s">
        <v>60</v>
      </c>
      <c r="C26" t="s">
        <v>8</v>
      </c>
      <c r="D26">
        <v>1582.69</v>
      </c>
      <c r="E26" s="3">
        <v>17.6698884869887</v>
      </c>
      <c r="F26">
        <v>3</v>
      </c>
    </row>
    <row r="27" spans="1:6">
      <c r="A27" t="s">
        <v>61</v>
      </c>
      <c r="B27" t="s">
        <v>62</v>
      </c>
      <c r="C27" t="s">
        <v>48</v>
      </c>
      <c r="D27">
        <v>1574.01</v>
      </c>
      <c r="E27" s="3">
        <v>77</v>
      </c>
      <c r="F27">
        <v>3</v>
      </c>
    </row>
    <row r="28" spans="1:6">
      <c r="A28" t="s">
        <v>63</v>
      </c>
      <c r="B28" t="s">
        <v>64</v>
      </c>
      <c r="C28" t="s">
        <v>24</v>
      </c>
      <c r="D28">
        <v>1560.91</v>
      </c>
      <c r="E28" s="3">
        <v>50</v>
      </c>
      <c r="F28">
        <v>3</v>
      </c>
    </row>
    <row r="29" spans="1:6">
      <c r="A29" t="s">
        <v>65</v>
      </c>
      <c r="B29" t="s">
        <v>66</v>
      </c>
      <c r="C29" t="s">
        <v>39</v>
      </c>
      <c r="D29">
        <v>1559.15</v>
      </c>
      <c r="E29" s="3">
        <v>100</v>
      </c>
      <c r="F29">
        <v>1</v>
      </c>
    </row>
    <row r="30" spans="1:6">
      <c r="A30" t="s">
        <v>67</v>
      </c>
      <c r="B30" t="s">
        <v>68</v>
      </c>
      <c r="C30" t="s">
        <v>24</v>
      </c>
      <c r="D30">
        <v>1556.71</v>
      </c>
      <c r="E30" s="3">
        <v>30.944325287470001</v>
      </c>
      <c r="F30">
        <v>3</v>
      </c>
    </row>
    <row r="31" spans="1:6">
      <c r="A31" t="s">
        <v>69</v>
      </c>
      <c r="B31" t="s">
        <v>70</v>
      </c>
      <c r="C31" t="s">
        <v>8</v>
      </c>
      <c r="D31">
        <v>1553.14</v>
      </c>
      <c r="E31" s="3">
        <v>100.257697016424</v>
      </c>
      <c r="F31">
        <v>3</v>
      </c>
    </row>
    <row r="32" spans="1:6">
      <c r="A32" t="s">
        <v>71</v>
      </c>
      <c r="B32" t="s">
        <v>72</v>
      </c>
      <c r="C32" t="s">
        <v>39</v>
      </c>
      <c r="D32">
        <v>1539.47</v>
      </c>
      <c r="E32" s="3">
        <v>100.37879968492599</v>
      </c>
      <c r="F32">
        <v>3</v>
      </c>
    </row>
    <row r="33" spans="1:6">
      <c r="A33" t="s">
        <v>73</v>
      </c>
      <c r="B33" t="s">
        <v>74</v>
      </c>
      <c r="C33" t="s">
        <v>8</v>
      </c>
      <c r="D33">
        <v>1557.47</v>
      </c>
      <c r="E33" s="3">
        <v>7.1963171620240001</v>
      </c>
      <c r="F33">
        <v>3</v>
      </c>
    </row>
    <row r="34" spans="1:6">
      <c r="A34" t="s">
        <v>75</v>
      </c>
      <c r="B34" t="s">
        <v>76</v>
      </c>
      <c r="C34" t="s">
        <v>24</v>
      </c>
      <c r="D34">
        <v>1522.48</v>
      </c>
      <c r="E34" s="3">
        <v>27.0560675546343</v>
      </c>
      <c r="F34">
        <v>3</v>
      </c>
    </row>
    <row r="35" spans="1:6">
      <c r="A35" t="s">
        <v>77</v>
      </c>
      <c r="B35" t="s">
        <v>78</v>
      </c>
      <c r="C35" t="s">
        <v>8</v>
      </c>
      <c r="D35">
        <v>1506.77</v>
      </c>
      <c r="E35" s="3">
        <v>100</v>
      </c>
      <c r="F35">
        <v>3</v>
      </c>
    </row>
    <row r="36" spans="1:6">
      <c r="A36" t="s">
        <v>79</v>
      </c>
      <c r="B36" t="s">
        <v>80</v>
      </c>
      <c r="C36" t="s">
        <v>11</v>
      </c>
      <c r="D36">
        <v>1501.5</v>
      </c>
      <c r="E36" s="3">
        <v>4</v>
      </c>
      <c r="F36">
        <v>3</v>
      </c>
    </row>
    <row r="37" spans="1:6">
      <c r="A37" t="s">
        <v>81</v>
      </c>
      <c r="B37" t="s">
        <v>82</v>
      </c>
      <c r="C37" t="s">
        <v>24</v>
      </c>
      <c r="D37">
        <v>1479.04</v>
      </c>
      <c r="E37" s="3">
        <v>50</v>
      </c>
      <c r="F37">
        <v>3</v>
      </c>
    </row>
    <row r="38" spans="1:6">
      <c r="A38" t="s">
        <v>83</v>
      </c>
      <c r="B38" t="s">
        <v>84</v>
      </c>
      <c r="C38" t="s">
        <v>24</v>
      </c>
      <c r="D38">
        <v>1468.22</v>
      </c>
      <c r="E38" s="3">
        <v>6.8481507206574701</v>
      </c>
      <c r="F38">
        <v>4</v>
      </c>
    </row>
    <row r="39" spans="1:6">
      <c r="A39" t="s">
        <v>85</v>
      </c>
      <c r="B39" t="s">
        <v>86</v>
      </c>
      <c r="C39" t="s">
        <v>48</v>
      </c>
      <c r="D39">
        <v>1462.03</v>
      </c>
      <c r="E39" s="3">
        <v>3.1311393831604701</v>
      </c>
      <c r="F39">
        <v>4</v>
      </c>
    </row>
    <row r="40" spans="1:6">
      <c r="A40" t="s">
        <v>87</v>
      </c>
      <c r="B40" t="s">
        <v>88</v>
      </c>
      <c r="C40" t="s">
        <v>48</v>
      </c>
      <c r="D40">
        <v>1454.96</v>
      </c>
      <c r="E40" s="3">
        <v>61.453271635263</v>
      </c>
      <c r="F40">
        <v>4</v>
      </c>
    </row>
    <row r="41" spans="1:6">
      <c r="A41" t="s">
        <v>89</v>
      </c>
      <c r="B41" t="s">
        <v>90</v>
      </c>
      <c r="C41" t="s">
        <v>48</v>
      </c>
      <c r="D41">
        <v>1436.94</v>
      </c>
      <c r="E41" s="3">
        <v>4.5483525950479304</v>
      </c>
      <c r="F41">
        <v>4</v>
      </c>
    </row>
    <row r="42" spans="1:6">
      <c r="A42" t="s">
        <v>91</v>
      </c>
      <c r="B42" t="s">
        <v>92</v>
      </c>
      <c r="C42" t="s">
        <v>24</v>
      </c>
      <c r="D42">
        <v>1432.76</v>
      </c>
      <c r="E42" s="3">
        <v>57.863786085042499</v>
      </c>
      <c r="F42">
        <v>4</v>
      </c>
    </row>
    <row r="43" spans="1:6">
      <c r="A43" t="s">
        <v>93</v>
      </c>
      <c r="B43" t="s">
        <v>94</v>
      </c>
      <c r="C43" t="s">
        <v>48</v>
      </c>
      <c r="D43">
        <v>1429.48</v>
      </c>
      <c r="E43" s="3">
        <v>24.8595940700406</v>
      </c>
      <c r="F43">
        <v>4</v>
      </c>
    </row>
    <row r="44" spans="1:6">
      <c r="A44" t="s">
        <v>95</v>
      </c>
      <c r="B44" t="s">
        <v>96</v>
      </c>
      <c r="C44" t="s">
        <v>48</v>
      </c>
      <c r="D44">
        <v>1388.93</v>
      </c>
      <c r="E44" s="3">
        <v>4.1838304533436599</v>
      </c>
      <c r="F44">
        <v>4</v>
      </c>
    </row>
    <row r="45" spans="1:6">
      <c r="A45" t="s">
        <v>97</v>
      </c>
      <c r="B45" t="s">
        <v>98</v>
      </c>
      <c r="C45" t="s">
        <v>24</v>
      </c>
      <c r="D45">
        <v>1370.49</v>
      </c>
      <c r="E45" s="3">
        <v>51.164469598336701</v>
      </c>
      <c r="F45">
        <v>4</v>
      </c>
    </row>
    <row r="46" spans="1:6">
      <c r="A46" t="s">
        <v>99</v>
      </c>
      <c r="B46" t="s">
        <v>100</v>
      </c>
      <c r="C46" t="s">
        <v>24</v>
      </c>
      <c r="D46">
        <v>1351.09</v>
      </c>
      <c r="E46" s="3">
        <v>22.9595964026887</v>
      </c>
      <c r="F46">
        <v>4</v>
      </c>
    </row>
    <row r="47" spans="1:6">
      <c r="A47" t="s">
        <v>101</v>
      </c>
      <c r="B47" t="s">
        <v>102</v>
      </c>
      <c r="C47" t="s">
        <v>39</v>
      </c>
      <c r="D47">
        <v>1302.7</v>
      </c>
      <c r="E47" s="3">
        <v>100</v>
      </c>
      <c r="F47">
        <v>4</v>
      </c>
    </row>
    <row r="48" spans="1:6">
      <c r="A48" t="s">
        <v>103</v>
      </c>
      <c r="B48" t="s">
        <v>104</v>
      </c>
      <c r="C48" t="s">
        <v>39</v>
      </c>
      <c r="D48">
        <v>1294.49</v>
      </c>
      <c r="E48" s="3">
        <v>14.046715134053301</v>
      </c>
      <c r="F48">
        <v>4</v>
      </c>
    </row>
    <row r="49" spans="1:6">
      <c r="A49" t="s">
        <v>105</v>
      </c>
      <c r="B49" t="s">
        <v>106</v>
      </c>
      <c r="C49" t="s">
        <v>107</v>
      </c>
      <c r="D49">
        <v>1279.25</v>
      </c>
      <c r="E49" s="3">
        <v>55.048333247280802</v>
      </c>
      <c r="F49">
        <v>4</v>
      </c>
    </row>
  </sheetData>
  <sortState xmlns:xlrd2="http://schemas.microsoft.com/office/spreadsheetml/2017/richdata2" ref="A2:H49">
    <sortCondition descending="1" ref="D1:D49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7"/>
  <sheetViews>
    <sheetView workbookViewId="0">
      <selection activeCell="T1" sqref="T1:T1048576"/>
    </sheetView>
  </sheetViews>
  <sheetFormatPr baseColWidth="10" defaultColWidth="9" defaultRowHeight="14"/>
  <cols>
    <col min="20" max="20" width="15" customWidth="1"/>
  </cols>
  <sheetData>
    <row r="1" spans="1:19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t="s">
        <v>118</v>
      </c>
      <c r="L1" t="s">
        <v>119</v>
      </c>
      <c r="M1" t="s">
        <v>120</v>
      </c>
      <c r="N1" t="s">
        <v>121</v>
      </c>
      <c r="O1" t="s">
        <v>122</v>
      </c>
      <c r="P1" t="s">
        <v>123</v>
      </c>
      <c r="Q1" t="s">
        <v>124</v>
      </c>
      <c r="R1" t="s">
        <v>125</v>
      </c>
      <c r="S1" t="s">
        <v>126</v>
      </c>
    </row>
    <row r="2" spans="1:19">
      <c r="A2">
        <v>1</v>
      </c>
      <c r="D2" t="s">
        <v>127</v>
      </c>
      <c r="I2" t="s">
        <v>128</v>
      </c>
      <c r="L2" t="s">
        <v>129</v>
      </c>
      <c r="O2" t="s">
        <v>130</v>
      </c>
      <c r="Q2" t="s">
        <v>131</v>
      </c>
      <c r="S2">
        <v>5</v>
      </c>
    </row>
    <row r="3" spans="1:19">
      <c r="A3">
        <v>2</v>
      </c>
      <c r="C3" t="s">
        <v>132</v>
      </c>
      <c r="H3" t="s">
        <v>133</v>
      </c>
      <c r="K3" t="s">
        <v>134</v>
      </c>
      <c r="N3" t="s">
        <v>135</v>
      </c>
      <c r="Q3" t="s">
        <v>136</v>
      </c>
      <c r="S3">
        <v>5</v>
      </c>
    </row>
    <row r="4" spans="1:19">
      <c r="A4">
        <v>3</v>
      </c>
      <c r="B4" t="s">
        <v>137</v>
      </c>
      <c r="H4" t="s">
        <v>138</v>
      </c>
      <c r="O4" t="s">
        <v>139</v>
      </c>
      <c r="S4">
        <v>3</v>
      </c>
    </row>
    <row r="5" spans="1:19">
      <c r="A5">
        <v>4</v>
      </c>
      <c r="E5" t="s">
        <v>140</v>
      </c>
      <c r="K5" t="s">
        <v>141</v>
      </c>
      <c r="O5" t="s">
        <v>142</v>
      </c>
      <c r="S5">
        <v>3</v>
      </c>
    </row>
    <row r="6" spans="1:19">
      <c r="A6">
        <v>5</v>
      </c>
      <c r="B6" t="s">
        <v>143</v>
      </c>
      <c r="I6" t="s">
        <v>144</v>
      </c>
      <c r="N6" t="s">
        <v>145</v>
      </c>
      <c r="Q6" t="s">
        <v>146</v>
      </c>
      <c r="S6">
        <v>4</v>
      </c>
    </row>
    <row r="7" spans="1:19">
      <c r="A7">
        <v>6</v>
      </c>
      <c r="D7" t="s">
        <v>147</v>
      </c>
      <c r="G7" t="s">
        <v>148</v>
      </c>
      <c r="M7" t="s">
        <v>149</v>
      </c>
      <c r="P7" t="s">
        <v>150</v>
      </c>
      <c r="R7" t="s">
        <v>151</v>
      </c>
      <c r="S7">
        <v>5</v>
      </c>
    </row>
    <row r="8" spans="1:19">
      <c r="A8">
        <v>7</v>
      </c>
      <c r="E8" t="s">
        <v>152</v>
      </c>
      <c r="H8" t="s">
        <v>153</v>
      </c>
      <c r="M8" t="s">
        <v>154</v>
      </c>
      <c r="P8" t="s">
        <v>155</v>
      </c>
      <c r="R8" t="s">
        <v>156</v>
      </c>
      <c r="S8">
        <v>5</v>
      </c>
    </row>
    <row r="9" spans="1:19">
      <c r="A9">
        <v>8</v>
      </c>
      <c r="G9" t="s">
        <v>157</v>
      </c>
      <c r="K9" t="s">
        <v>158</v>
      </c>
      <c r="P9" t="s">
        <v>159</v>
      </c>
      <c r="R9" t="s">
        <v>160</v>
      </c>
      <c r="S9">
        <v>4</v>
      </c>
    </row>
    <row r="10" spans="1:19">
      <c r="A10">
        <v>9</v>
      </c>
      <c r="E10" t="s">
        <v>161</v>
      </c>
      <c r="H10" t="s">
        <v>162</v>
      </c>
      <c r="K10" t="s">
        <v>163</v>
      </c>
      <c r="N10" t="s">
        <v>164</v>
      </c>
      <c r="Q10" t="s">
        <v>165</v>
      </c>
      <c r="S10">
        <v>5</v>
      </c>
    </row>
    <row r="11" spans="1:19">
      <c r="A11">
        <v>10</v>
      </c>
      <c r="F11" t="s">
        <v>166</v>
      </c>
      <c r="I11" t="s">
        <v>167</v>
      </c>
      <c r="L11" t="s">
        <v>168</v>
      </c>
      <c r="O11" t="s">
        <v>169</v>
      </c>
      <c r="R11" t="s">
        <v>170</v>
      </c>
      <c r="S11">
        <v>5</v>
      </c>
    </row>
    <row r="12" spans="1:19">
      <c r="A12">
        <v>11</v>
      </c>
      <c r="C12" t="s">
        <v>171</v>
      </c>
      <c r="F12" t="s">
        <v>172</v>
      </c>
      <c r="I12" t="s">
        <v>173</v>
      </c>
      <c r="L12" t="s">
        <v>174</v>
      </c>
      <c r="P12" t="s">
        <v>175</v>
      </c>
      <c r="S12">
        <v>5</v>
      </c>
    </row>
    <row r="13" spans="1:19">
      <c r="A13">
        <v>12</v>
      </c>
      <c r="E13" t="s">
        <v>176</v>
      </c>
      <c r="J13" t="s">
        <v>177</v>
      </c>
      <c r="M13" t="s">
        <v>178</v>
      </c>
      <c r="P13" t="s">
        <v>179</v>
      </c>
      <c r="R13" t="s">
        <v>180</v>
      </c>
      <c r="S13">
        <v>5</v>
      </c>
    </row>
    <row r="14" spans="1:19">
      <c r="A14">
        <v>13</v>
      </c>
      <c r="F14" t="s">
        <v>181</v>
      </c>
      <c r="J14" t="s">
        <v>182</v>
      </c>
      <c r="O14" t="s">
        <v>183</v>
      </c>
      <c r="Q14" t="s">
        <v>184</v>
      </c>
      <c r="S14">
        <v>4</v>
      </c>
    </row>
    <row r="15" spans="1:19">
      <c r="A15">
        <v>14</v>
      </c>
      <c r="D15" t="s">
        <v>185</v>
      </c>
      <c r="G15" t="s">
        <v>186</v>
      </c>
      <c r="J15" t="s">
        <v>187</v>
      </c>
      <c r="M15" t="s">
        <v>188</v>
      </c>
      <c r="P15" t="s">
        <v>189</v>
      </c>
      <c r="S15">
        <v>5</v>
      </c>
    </row>
    <row r="16" spans="1:19">
      <c r="A16">
        <v>15</v>
      </c>
      <c r="D16" t="s">
        <v>190</v>
      </c>
      <c r="G16" t="s">
        <v>191</v>
      </c>
      <c r="J16" t="s">
        <v>192</v>
      </c>
      <c r="N16" t="s">
        <v>193</v>
      </c>
      <c r="Q16" t="s">
        <v>194</v>
      </c>
      <c r="S16">
        <v>5</v>
      </c>
    </row>
    <row r="17" spans="1:19">
      <c r="A17">
        <v>16</v>
      </c>
      <c r="F17" t="s">
        <v>195</v>
      </c>
      <c r="L17" t="s">
        <v>196</v>
      </c>
      <c r="O17" t="s">
        <v>197</v>
      </c>
      <c r="R17" t="s">
        <v>198</v>
      </c>
      <c r="S17">
        <v>4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7"/>
  <sheetViews>
    <sheetView zoomScale="97" zoomScaleNormal="97" workbookViewId="0">
      <selection activeCell="F9" sqref="F9"/>
    </sheetView>
  </sheetViews>
  <sheetFormatPr baseColWidth="10" defaultColWidth="9" defaultRowHeight="14"/>
  <cols>
    <col min="2" max="2" width="21.19921875" customWidth="1"/>
    <col min="3" max="3" width="12" customWidth="1"/>
    <col min="5" max="5" width="15" customWidth="1"/>
  </cols>
  <sheetData>
    <row r="1" spans="1:5">
      <c r="A1" t="s">
        <v>108</v>
      </c>
      <c r="B1" t="s">
        <v>199</v>
      </c>
      <c r="C1" t="s">
        <v>200</v>
      </c>
      <c r="D1" t="s">
        <v>201</v>
      </c>
      <c r="E1" t="s">
        <v>202</v>
      </c>
    </row>
    <row r="2" spans="1:5">
      <c r="A2">
        <v>1</v>
      </c>
      <c r="B2" t="s">
        <v>203</v>
      </c>
      <c r="C2" t="s">
        <v>204</v>
      </c>
      <c r="D2">
        <v>48821</v>
      </c>
      <c r="E2">
        <v>8.2829999999999995</v>
      </c>
    </row>
    <row r="3" spans="1:5">
      <c r="A3">
        <v>2</v>
      </c>
      <c r="B3" t="s">
        <v>205</v>
      </c>
      <c r="C3" t="s">
        <v>206</v>
      </c>
      <c r="D3">
        <v>44315</v>
      </c>
      <c r="E3">
        <v>8.5660000000000007</v>
      </c>
    </row>
    <row r="4" spans="1:5">
      <c r="A4">
        <v>3</v>
      </c>
      <c r="B4" t="s">
        <v>207</v>
      </c>
      <c r="C4" t="s">
        <v>208</v>
      </c>
      <c r="D4">
        <v>72766</v>
      </c>
      <c r="E4">
        <v>8.1940000000000008</v>
      </c>
    </row>
    <row r="5" spans="1:5">
      <c r="A5">
        <v>4</v>
      </c>
      <c r="B5" t="s">
        <v>209</v>
      </c>
      <c r="C5" t="s">
        <v>210</v>
      </c>
      <c r="D5">
        <v>50113</v>
      </c>
      <c r="E5">
        <v>9.0739999999999998</v>
      </c>
    </row>
    <row r="6" spans="1:5">
      <c r="A6">
        <v>5</v>
      </c>
      <c r="B6" t="s">
        <v>211</v>
      </c>
      <c r="C6" t="s">
        <v>212</v>
      </c>
      <c r="D6">
        <v>44330</v>
      </c>
      <c r="E6">
        <v>8.1310000000000002</v>
      </c>
    </row>
    <row r="7" spans="1:5">
      <c r="A7">
        <v>6</v>
      </c>
      <c r="B7" t="s">
        <v>213</v>
      </c>
      <c r="C7" t="s">
        <v>214</v>
      </c>
      <c r="D7">
        <v>78576</v>
      </c>
      <c r="E7">
        <v>8.4469999999999992</v>
      </c>
    </row>
    <row r="8" spans="1:5">
      <c r="A8">
        <v>7</v>
      </c>
      <c r="B8" t="s">
        <v>215</v>
      </c>
      <c r="C8" t="s">
        <v>216</v>
      </c>
      <c r="D8">
        <v>70122</v>
      </c>
      <c r="E8">
        <v>16.928000000000001</v>
      </c>
    </row>
    <row r="9" spans="1:5">
      <c r="A9">
        <v>8</v>
      </c>
      <c r="B9" t="s">
        <v>217</v>
      </c>
      <c r="C9" t="s">
        <v>218</v>
      </c>
      <c r="D9">
        <v>67513</v>
      </c>
      <c r="E9">
        <v>9.3729999999999993</v>
      </c>
    </row>
    <row r="10" spans="1:5">
      <c r="A10">
        <v>9</v>
      </c>
      <c r="B10" t="s">
        <v>219</v>
      </c>
      <c r="C10" t="s">
        <v>220</v>
      </c>
      <c r="D10">
        <v>68311</v>
      </c>
      <c r="E10">
        <v>10.753</v>
      </c>
    </row>
    <row r="11" spans="1:5">
      <c r="A11">
        <v>10</v>
      </c>
      <c r="B11" t="s">
        <v>221</v>
      </c>
      <c r="C11" t="s">
        <v>222</v>
      </c>
      <c r="D11">
        <v>67382</v>
      </c>
      <c r="E11">
        <v>9.0790000000000006</v>
      </c>
    </row>
    <row r="12" spans="1:5">
      <c r="A12">
        <v>11</v>
      </c>
      <c r="B12" t="s">
        <v>223</v>
      </c>
      <c r="C12" t="s">
        <v>224</v>
      </c>
      <c r="D12">
        <v>69650</v>
      </c>
      <c r="E12">
        <v>8.81</v>
      </c>
    </row>
    <row r="13" spans="1:5">
      <c r="A13">
        <v>12</v>
      </c>
      <c r="B13" t="s">
        <v>225</v>
      </c>
      <c r="C13" t="s">
        <v>226</v>
      </c>
      <c r="D13">
        <v>65827</v>
      </c>
      <c r="E13">
        <v>7.9950000000000001</v>
      </c>
    </row>
    <row r="14" spans="1:5">
      <c r="A14">
        <v>13</v>
      </c>
      <c r="B14" t="s">
        <v>227</v>
      </c>
      <c r="C14" t="s">
        <v>228</v>
      </c>
      <c r="D14">
        <v>65123</v>
      </c>
      <c r="E14">
        <v>8.5090000000000003</v>
      </c>
    </row>
    <row r="15" spans="1:5">
      <c r="A15">
        <v>14</v>
      </c>
      <c r="B15" t="s">
        <v>229</v>
      </c>
      <c r="C15" t="s">
        <v>230</v>
      </c>
      <c r="D15">
        <v>69391</v>
      </c>
      <c r="E15">
        <v>8.3870000000000005</v>
      </c>
    </row>
    <row r="16" spans="1:5">
      <c r="A16">
        <v>15</v>
      </c>
      <c r="B16" t="s">
        <v>231</v>
      </c>
      <c r="C16" t="s">
        <v>232</v>
      </c>
      <c r="D16">
        <v>63815</v>
      </c>
      <c r="E16">
        <v>8.4649999999999999</v>
      </c>
    </row>
    <row r="17" spans="1:5">
      <c r="A17">
        <v>16</v>
      </c>
      <c r="B17" t="s">
        <v>233</v>
      </c>
      <c r="C17" t="s">
        <v>234</v>
      </c>
      <c r="D17">
        <v>64091</v>
      </c>
      <c r="E17">
        <v>9.3580000000000005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96"/>
  <sheetViews>
    <sheetView tabSelected="1" workbookViewId="0">
      <selection activeCell="F3" sqref="F3"/>
    </sheetView>
  </sheetViews>
  <sheetFormatPr baseColWidth="10" defaultColWidth="11" defaultRowHeight="14"/>
  <cols>
    <col min="1" max="2" width="13.796875" style="1" customWidth="1"/>
    <col min="3" max="3" width="25.59765625" style="1" customWidth="1"/>
    <col min="4" max="4" width="15.796875" style="1" customWidth="1"/>
    <col min="5" max="5" width="26.796875" style="1" customWidth="1"/>
    <col min="6" max="6" width="52.796875" style="1" customWidth="1"/>
    <col min="7" max="7" width="16.3984375" style="1" customWidth="1"/>
    <col min="8" max="8" width="20.59765625" style="1" customWidth="1"/>
    <col min="9" max="9" width="34.796875" style="1" customWidth="1"/>
    <col min="10" max="10" width="22.3984375" style="1" customWidth="1"/>
    <col min="11" max="16384" width="11" style="1"/>
  </cols>
  <sheetData>
    <row r="1" spans="1:11">
      <c r="A1" s="11" t="s">
        <v>235</v>
      </c>
      <c r="B1" s="11"/>
      <c r="C1" s="11"/>
      <c r="D1" s="11"/>
      <c r="E1" s="11"/>
      <c r="F1" s="11"/>
      <c r="G1" s="11" t="s">
        <v>236</v>
      </c>
      <c r="H1" s="11"/>
      <c r="I1" s="12" t="s">
        <v>406</v>
      </c>
      <c r="J1" s="11"/>
    </row>
    <row r="2" spans="1:11" ht="15" customHeight="1">
      <c r="A2" s="2" t="s">
        <v>0</v>
      </c>
      <c r="B2" s="2" t="s">
        <v>2</v>
      </c>
      <c r="C2" s="2" t="s">
        <v>237</v>
      </c>
      <c r="D2" s="2" t="s">
        <v>238</v>
      </c>
      <c r="E2" s="4" t="s">
        <v>239</v>
      </c>
      <c r="F2" s="10" t="s">
        <v>407</v>
      </c>
      <c r="G2" s="2" t="s">
        <v>0</v>
      </c>
      <c r="H2" s="1" t="s">
        <v>240</v>
      </c>
      <c r="I2" s="6" t="s">
        <v>0</v>
      </c>
      <c r="J2" s="6" t="s">
        <v>241</v>
      </c>
      <c r="K2" s="6"/>
    </row>
    <row r="3" spans="1:11">
      <c r="A3" s="2" t="s">
        <v>6</v>
      </c>
      <c r="B3" s="2" t="s">
        <v>8</v>
      </c>
      <c r="C3" s="2">
        <f t="shared" ref="C3:C23" si="0">VLOOKUP(A3,G$3:H$34,2,FALSE)</f>
        <v>51</v>
      </c>
      <c r="D3" s="3">
        <f>VLOOKUP(A3,I$3:J$196,2,FALSE)</f>
        <v>37488.718000000001</v>
      </c>
      <c r="E3" s="5">
        <v>51</v>
      </c>
      <c r="F3" s="1" t="s">
        <v>242</v>
      </c>
      <c r="G3" s="2" t="s">
        <v>87</v>
      </c>
      <c r="H3" s="2">
        <v>100</v>
      </c>
      <c r="I3" s="7" t="s">
        <v>243</v>
      </c>
      <c r="J3" s="8">
        <v>11147.242</v>
      </c>
      <c r="K3" s="6"/>
    </row>
    <row r="4" spans="1:11">
      <c r="A4" s="2" t="s">
        <v>9</v>
      </c>
      <c r="B4" s="2" t="s">
        <v>11</v>
      </c>
      <c r="C4" s="2">
        <f t="shared" si="0"/>
        <v>54</v>
      </c>
      <c r="D4" s="3">
        <f>VLOOKUP(A4,I$3:J$196,2,FALSE)</f>
        <v>14882.507</v>
      </c>
      <c r="E4" s="5">
        <v>54</v>
      </c>
      <c r="F4" s="1" t="s">
        <v>242</v>
      </c>
      <c r="G4" s="2" t="s">
        <v>61</v>
      </c>
      <c r="H4" s="2">
        <v>77</v>
      </c>
      <c r="I4" s="7" t="s">
        <v>63</v>
      </c>
      <c r="J4" s="8">
        <v>5630.7610000000004</v>
      </c>
      <c r="K4" s="6"/>
    </row>
    <row r="5" spans="1:11">
      <c r="A5" s="2" t="s">
        <v>12</v>
      </c>
      <c r="B5" s="2" t="s">
        <v>8</v>
      </c>
      <c r="C5" s="2">
        <f t="shared" si="0"/>
        <v>51</v>
      </c>
      <c r="D5" s="3">
        <f>VLOOKUP(A5,I$3:J$196,2,FALSE)</f>
        <v>48210.896999999997</v>
      </c>
      <c r="E5" s="5">
        <v>51</v>
      </c>
      <c r="F5" s="1" t="s">
        <v>242</v>
      </c>
      <c r="G5" s="2" t="s">
        <v>49</v>
      </c>
      <c r="H5" s="2">
        <v>100</v>
      </c>
      <c r="I5" s="7" t="s">
        <v>244</v>
      </c>
      <c r="J5" s="8">
        <v>45693.714</v>
      </c>
      <c r="K5" s="6"/>
    </row>
    <row r="6" spans="1:11">
      <c r="A6" s="2" t="s">
        <v>14</v>
      </c>
      <c r="B6" s="2" t="s">
        <v>8</v>
      </c>
      <c r="C6" s="2">
        <f t="shared" si="0"/>
        <v>100</v>
      </c>
      <c r="D6" s="3"/>
      <c r="E6" s="5">
        <v>100</v>
      </c>
      <c r="F6" s="1" t="s">
        <v>242</v>
      </c>
      <c r="G6" s="2" t="s">
        <v>46</v>
      </c>
      <c r="H6" s="2">
        <v>29</v>
      </c>
      <c r="I6" s="7" t="s">
        <v>245</v>
      </c>
      <c r="J6" s="8">
        <v>2689.386</v>
      </c>
      <c r="K6" s="6"/>
    </row>
    <row r="7" spans="1:11">
      <c r="A7" s="2" t="s">
        <v>16</v>
      </c>
      <c r="B7" s="2" t="s">
        <v>11</v>
      </c>
      <c r="C7" s="2">
        <f t="shared" si="0"/>
        <v>94</v>
      </c>
      <c r="D7" s="3">
        <f t="shared" ref="D7:D21" si="1">VLOOKUP(A7,I$3:J$196,2,FALSE)</f>
        <v>10215.584000000001</v>
      </c>
      <c r="E7" s="5">
        <v>94</v>
      </c>
      <c r="F7" s="1" t="s">
        <v>242</v>
      </c>
      <c r="G7" s="2" t="s">
        <v>246</v>
      </c>
      <c r="H7" s="2">
        <v>13</v>
      </c>
      <c r="I7" s="7" t="s">
        <v>247</v>
      </c>
      <c r="J7" s="8">
        <v>23465.403999999999</v>
      </c>
      <c r="K7" s="6"/>
    </row>
    <row r="8" spans="1:11">
      <c r="A8" s="2" t="s">
        <v>18</v>
      </c>
      <c r="B8" s="2" t="s">
        <v>8</v>
      </c>
      <c r="C8" s="2">
        <f t="shared" si="0"/>
        <v>34</v>
      </c>
      <c r="D8" s="3">
        <f t="shared" si="1"/>
        <v>31465.404999999999</v>
      </c>
      <c r="E8" s="5">
        <v>34</v>
      </c>
      <c r="F8" s="1" t="s">
        <v>242</v>
      </c>
      <c r="G8" s="2" t="s">
        <v>63</v>
      </c>
      <c r="H8" s="2">
        <v>50</v>
      </c>
      <c r="I8" s="7" t="s">
        <v>9</v>
      </c>
      <c r="J8" s="8">
        <v>14882.507</v>
      </c>
      <c r="K8" s="6"/>
    </row>
    <row r="9" spans="1:11">
      <c r="A9" s="2" t="s">
        <v>20</v>
      </c>
      <c r="B9" s="2" t="s">
        <v>8</v>
      </c>
      <c r="C9" s="2">
        <f t="shared" si="0"/>
        <v>55</v>
      </c>
      <c r="D9" s="3">
        <f t="shared" si="1"/>
        <v>73091.214000000007</v>
      </c>
      <c r="E9" s="5">
        <v>55</v>
      </c>
      <c r="F9" s="1" t="s">
        <v>242</v>
      </c>
      <c r="G9" s="2" t="s">
        <v>248</v>
      </c>
      <c r="H9" s="2">
        <v>16</v>
      </c>
      <c r="I9" s="7" t="s">
        <v>249</v>
      </c>
      <c r="J9" s="8">
        <v>8998.9830000000002</v>
      </c>
    </row>
    <row r="10" spans="1:11">
      <c r="A10" s="2" t="s">
        <v>22</v>
      </c>
      <c r="B10" s="2" t="s">
        <v>24</v>
      </c>
      <c r="C10" s="2" t="e">
        <f t="shared" si="0"/>
        <v>#N/A</v>
      </c>
      <c r="D10" s="3">
        <f t="shared" si="1"/>
        <v>4640.915</v>
      </c>
      <c r="E10" s="5">
        <f>E29*D10/D29</f>
        <v>41.210371031553301</v>
      </c>
      <c r="F10" s="1" t="s">
        <v>250</v>
      </c>
      <c r="G10" s="2" t="s">
        <v>67</v>
      </c>
      <c r="H10" s="2">
        <v>100</v>
      </c>
      <c r="I10" s="7" t="s">
        <v>251</v>
      </c>
      <c r="J10" s="8">
        <v>39508.366999999998</v>
      </c>
    </row>
    <row r="11" spans="1:11">
      <c r="A11" s="2" t="s">
        <v>25</v>
      </c>
      <c r="B11" s="2" t="s">
        <v>8</v>
      </c>
      <c r="C11" s="2">
        <f t="shared" si="0"/>
        <v>38</v>
      </c>
      <c r="D11" s="3">
        <f t="shared" si="1"/>
        <v>59457.705000000002</v>
      </c>
      <c r="E11" s="5">
        <v>38</v>
      </c>
      <c r="F11" s="1" t="s">
        <v>242</v>
      </c>
      <c r="G11" s="2" t="s">
        <v>252</v>
      </c>
      <c r="H11" s="2">
        <v>27</v>
      </c>
      <c r="I11" s="7" t="s">
        <v>61</v>
      </c>
      <c r="J11" s="8">
        <v>66277.317999999999</v>
      </c>
    </row>
    <row r="12" spans="1:11">
      <c r="A12" s="2" t="s">
        <v>27</v>
      </c>
      <c r="B12" s="2" t="s">
        <v>8</v>
      </c>
      <c r="C12" s="2">
        <f t="shared" si="0"/>
        <v>63</v>
      </c>
      <c r="D12" s="3">
        <f t="shared" si="1"/>
        <v>57800.968000000001</v>
      </c>
      <c r="E12" s="5">
        <v>63</v>
      </c>
      <c r="F12" s="1" t="s">
        <v>242</v>
      </c>
      <c r="G12" s="2" t="s">
        <v>81</v>
      </c>
      <c r="H12" s="2">
        <v>50</v>
      </c>
      <c r="I12" s="7" t="s">
        <v>57</v>
      </c>
      <c r="J12" s="8">
        <v>59960.822999999997</v>
      </c>
    </row>
    <row r="13" spans="1:11">
      <c r="A13" s="2" t="s">
        <v>29</v>
      </c>
      <c r="B13" s="2" t="s">
        <v>8</v>
      </c>
      <c r="C13" s="2">
        <f t="shared" si="0"/>
        <v>6</v>
      </c>
      <c r="D13" s="3">
        <f t="shared" si="1"/>
        <v>27231.499</v>
      </c>
      <c r="E13" s="5">
        <v>6</v>
      </c>
      <c r="F13" s="1" t="s">
        <v>242</v>
      </c>
      <c r="G13" s="2" t="s">
        <v>253</v>
      </c>
      <c r="H13" s="2">
        <v>3</v>
      </c>
      <c r="I13" s="7" t="s">
        <v>254</v>
      </c>
      <c r="J13" s="8">
        <v>7800.223</v>
      </c>
    </row>
    <row r="14" spans="1:11">
      <c r="A14" s="2" t="s">
        <v>31</v>
      </c>
      <c r="B14" s="2" t="s">
        <v>24</v>
      </c>
      <c r="C14" s="2" t="e">
        <f t="shared" si="0"/>
        <v>#N/A</v>
      </c>
      <c r="D14" s="3">
        <f t="shared" si="1"/>
        <v>1867.24</v>
      </c>
      <c r="E14" s="5">
        <f>E29*D14/D29</f>
        <v>16.5807072969355</v>
      </c>
      <c r="F14" s="1" t="s">
        <v>250</v>
      </c>
      <c r="G14" s="2" t="s">
        <v>255</v>
      </c>
      <c r="H14" s="2">
        <v>1</v>
      </c>
      <c r="I14" s="7" t="s">
        <v>256</v>
      </c>
      <c r="J14" s="8">
        <v>37517.584999999999</v>
      </c>
    </row>
    <row r="15" spans="1:11">
      <c r="A15" s="2" t="s">
        <v>33</v>
      </c>
      <c r="B15" s="2" t="s">
        <v>8</v>
      </c>
      <c r="C15" s="2">
        <f t="shared" si="0"/>
        <v>51</v>
      </c>
      <c r="D15" s="3">
        <f t="shared" si="1"/>
        <v>42511.631999999998</v>
      </c>
      <c r="E15" s="5">
        <v>51</v>
      </c>
      <c r="F15" s="1" t="s">
        <v>242</v>
      </c>
      <c r="G15" s="2" t="s">
        <v>40</v>
      </c>
      <c r="H15" s="2">
        <v>63</v>
      </c>
      <c r="I15" s="7" t="s">
        <v>257</v>
      </c>
      <c r="J15" s="8">
        <v>29206.477999999999</v>
      </c>
    </row>
    <row r="16" spans="1:11">
      <c r="A16" s="2" t="s">
        <v>35</v>
      </c>
      <c r="B16" s="2" t="s">
        <v>11</v>
      </c>
      <c r="C16" s="2" t="e">
        <f t="shared" si="0"/>
        <v>#N/A</v>
      </c>
      <c r="D16" s="3">
        <f t="shared" si="1"/>
        <v>8333.8549999999996</v>
      </c>
      <c r="E16" s="5">
        <f>E7*D16/D7</f>
        <v>76.685030439767303</v>
      </c>
      <c r="F16" s="1" t="s">
        <v>258</v>
      </c>
      <c r="G16" s="2" t="s">
        <v>38</v>
      </c>
      <c r="H16" s="2">
        <v>100</v>
      </c>
      <c r="I16" s="7" t="s">
        <v>259</v>
      </c>
      <c r="J16" s="8">
        <v>2925.047</v>
      </c>
    </row>
    <row r="17" spans="1:10">
      <c r="A17" s="2" t="s">
        <v>37</v>
      </c>
      <c r="B17" s="2" t="s">
        <v>39</v>
      </c>
      <c r="C17" s="2" t="e">
        <f t="shared" si="0"/>
        <v>#N/A</v>
      </c>
      <c r="D17" s="3">
        <f t="shared" si="1"/>
        <v>92096.548999999999</v>
      </c>
      <c r="E17" s="5">
        <v>100</v>
      </c>
      <c r="F17" s="1" t="s">
        <v>260</v>
      </c>
      <c r="G17" s="2" t="s">
        <v>9</v>
      </c>
      <c r="H17" s="2">
        <v>54</v>
      </c>
      <c r="I17" s="7" t="s">
        <v>261</v>
      </c>
      <c r="J17" s="8">
        <v>27170.226999999999</v>
      </c>
    </row>
    <row r="18" spans="1:10">
      <c r="A18" s="2" t="s">
        <v>40</v>
      </c>
      <c r="B18" s="2" t="s">
        <v>39</v>
      </c>
      <c r="C18" s="2">
        <f t="shared" si="0"/>
        <v>63</v>
      </c>
      <c r="D18" s="3">
        <f t="shared" si="1"/>
        <v>13208.332</v>
      </c>
      <c r="E18" s="5">
        <v>100</v>
      </c>
      <c r="F18" s="1" t="s">
        <v>260</v>
      </c>
      <c r="G18" s="2" t="s">
        <v>16</v>
      </c>
      <c r="H18" s="2">
        <v>94</v>
      </c>
      <c r="I18" s="7" t="s">
        <v>262</v>
      </c>
      <c r="J18" s="8">
        <v>8261.0840000000007</v>
      </c>
    </row>
    <row r="19" spans="1:10">
      <c r="A19" s="2" t="s">
        <v>42</v>
      </c>
      <c r="B19" s="2" t="s">
        <v>11</v>
      </c>
      <c r="C19" s="2">
        <f t="shared" si="0"/>
        <v>9</v>
      </c>
      <c r="D19" s="3">
        <f t="shared" si="1"/>
        <v>24191.019</v>
      </c>
      <c r="E19" s="5">
        <v>9</v>
      </c>
      <c r="F19" s="1" t="s">
        <v>242</v>
      </c>
      <c r="G19" s="2" t="s">
        <v>263</v>
      </c>
      <c r="H19" s="2">
        <v>26</v>
      </c>
      <c r="I19" s="7" t="s">
        <v>25</v>
      </c>
      <c r="J19" s="8">
        <v>59457.705000000002</v>
      </c>
    </row>
    <row r="20" spans="1:10">
      <c r="A20" s="2" t="s">
        <v>44</v>
      </c>
      <c r="B20" s="2" t="s">
        <v>8</v>
      </c>
      <c r="C20" s="2" t="e">
        <f t="shared" si="0"/>
        <v>#N/A</v>
      </c>
      <c r="D20" s="3">
        <f t="shared" si="1"/>
        <v>108928.603</v>
      </c>
      <c r="E20" s="5">
        <v>100</v>
      </c>
      <c r="F20" s="1" t="s">
        <v>264</v>
      </c>
      <c r="G20" s="2" t="s">
        <v>79</v>
      </c>
      <c r="H20" s="2">
        <v>4</v>
      </c>
      <c r="I20" s="7" t="s">
        <v>265</v>
      </c>
      <c r="J20" s="8">
        <v>8854.7309999999998</v>
      </c>
    </row>
    <row r="21" spans="1:10">
      <c r="A21" s="2" t="s">
        <v>46</v>
      </c>
      <c r="B21" s="2" t="s">
        <v>48</v>
      </c>
      <c r="C21" s="2">
        <f t="shared" si="0"/>
        <v>29</v>
      </c>
      <c r="D21" s="3">
        <f t="shared" si="1"/>
        <v>35653.195</v>
      </c>
      <c r="E21" s="5">
        <v>29</v>
      </c>
      <c r="F21" s="1" t="s">
        <v>242</v>
      </c>
      <c r="G21" s="2" t="s">
        <v>42</v>
      </c>
      <c r="H21" s="2">
        <v>9</v>
      </c>
      <c r="I21" s="7" t="s">
        <v>266</v>
      </c>
      <c r="J21" s="8">
        <v>1610.355</v>
      </c>
    </row>
    <row r="22" spans="1:10">
      <c r="A22" s="2" t="s">
        <v>49</v>
      </c>
      <c r="B22" s="2" t="s">
        <v>48</v>
      </c>
      <c r="C22" s="2">
        <f t="shared" si="0"/>
        <v>100</v>
      </c>
      <c r="D22" s="3">
        <v>4086.2429999999999</v>
      </c>
      <c r="E22" s="5">
        <f>E21*D22/D21</f>
        <v>3.3237146628794401</v>
      </c>
      <c r="F22" s="1" t="s">
        <v>267</v>
      </c>
      <c r="G22" s="2" t="s">
        <v>25</v>
      </c>
      <c r="H22" s="2">
        <v>38</v>
      </c>
      <c r="I22" s="7" t="s">
        <v>268</v>
      </c>
      <c r="J22" s="8">
        <v>4749.05</v>
      </c>
    </row>
    <row r="23" spans="1:10">
      <c r="A23" s="2" t="s">
        <v>51</v>
      </c>
      <c r="B23" s="2" t="s">
        <v>8</v>
      </c>
      <c r="C23" s="2" t="e">
        <f t="shared" si="0"/>
        <v>#N/A</v>
      </c>
      <c r="D23" s="3">
        <f>VLOOKUP(A23,I$3:J$196,2,FALSE)</f>
        <v>78341.543999999994</v>
      </c>
      <c r="E23" s="5">
        <f>E12*D23/D12</f>
        <v>85.388142150145299</v>
      </c>
      <c r="F23" s="1" t="s">
        <v>269</v>
      </c>
      <c r="G23" s="2" t="s">
        <v>29</v>
      </c>
      <c r="H23" s="2">
        <v>6</v>
      </c>
      <c r="I23" s="7" t="s">
        <v>270</v>
      </c>
      <c r="J23" s="8">
        <v>5211.6850000000004</v>
      </c>
    </row>
    <row r="24" spans="1:10">
      <c r="A24" s="2" t="s">
        <v>53</v>
      </c>
      <c r="B24" s="2" t="s">
        <v>48</v>
      </c>
      <c r="C24" s="2">
        <v>13</v>
      </c>
      <c r="D24" s="3">
        <v>35880.214999999997</v>
      </c>
      <c r="E24" s="5">
        <v>13</v>
      </c>
      <c r="F24" s="1" t="s">
        <v>242</v>
      </c>
      <c r="G24" s="2" t="s">
        <v>271</v>
      </c>
      <c r="H24" s="2">
        <v>22</v>
      </c>
      <c r="I24" s="7" t="s">
        <v>272</v>
      </c>
      <c r="J24" s="8">
        <v>8792.98</v>
      </c>
    </row>
    <row r="25" spans="1:10">
      <c r="A25" s="2" t="s">
        <v>55</v>
      </c>
      <c r="B25" s="2" t="s">
        <v>11</v>
      </c>
      <c r="C25" s="2" t="e">
        <f t="shared" ref="C25:C50" si="2">VLOOKUP(A25,G$3:H$34,2,FALSE)</f>
        <v>#N/A</v>
      </c>
      <c r="D25" s="3">
        <f>VLOOKUP(A25,I$3:J$196,2,FALSE)</f>
        <v>7142.6930000000002</v>
      </c>
      <c r="E25" s="5">
        <f>E7*D25/D7</f>
        <v>65.724401267710206</v>
      </c>
      <c r="F25" s="1" t="s">
        <v>258</v>
      </c>
      <c r="G25" s="2" t="s">
        <v>14</v>
      </c>
      <c r="H25" s="2">
        <v>100</v>
      </c>
      <c r="I25" s="7" t="s">
        <v>273</v>
      </c>
      <c r="J25" s="8">
        <v>7465.5940000000001</v>
      </c>
    </row>
    <row r="26" spans="1:10">
      <c r="A26" s="2" t="s">
        <v>57</v>
      </c>
      <c r="B26" s="2" t="s">
        <v>8</v>
      </c>
      <c r="C26" s="2" t="e">
        <f t="shared" si="2"/>
        <v>#N/A</v>
      </c>
      <c r="D26" s="3">
        <f>VLOOKUP(A26,I$3:J$196,2,FALSE)</f>
        <v>59960.822999999997</v>
      </c>
      <c r="E26" s="5">
        <f>E12*D26/D12</f>
        <v>65.354127789001694</v>
      </c>
      <c r="F26" s="1" t="s">
        <v>269</v>
      </c>
      <c r="G26" s="2" t="s">
        <v>12</v>
      </c>
      <c r="H26" s="2">
        <v>51</v>
      </c>
      <c r="I26" s="7" t="s">
        <v>16</v>
      </c>
      <c r="J26" s="8">
        <v>10215.584000000001</v>
      </c>
    </row>
    <row r="27" spans="1:10">
      <c r="A27" s="2" t="s">
        <v>59</v>
      </c>
      <c r="B27" s="2" t="s">
        <v>8</v>
      </c>
      <c r="C27" s="2" t="e">
        <f t="shared" si="2"/>
        <v>#N/A</v>
      </c>
      <c r="D27" s="3">
        <v>16211.692999999999</v>
      </c>
      <c r="E27" s="5">
        <f>E12*D27/D12</f>
        <v>17.6698884869887</v>
      </c>
      <c r="F27" s="1" t="s">
        <v>269</v>
      </c>
      <c r="G27" s="2" t="s">
        <v>27</v>
      </c>
      <c r="H27" s="2">
        <v>63</v>
      </c>
      <c r="I27" s="7" t="s">
        <v>274</v>
      </c>
      <c r="J27" s="8">
        <v>36120.629000000001</v>
      </c>
    </row>
    <row r="28" spans="1:10">
      <c r="A28" s="2" t="s">
        <v>61</v>
      </c>
      <c r="B28" s="2" t="s">
        <v>48</v>
      </c>
      <c r="C28" s="2">
        <f t="shared" si="2"/>
        <v>77</v>
      </c>
      <c r="D28" s="3">
        <f t="shared" ref="D28:D34" si="3">VLOOKUP(A28,I$3:J$196,2,FALSE)</f>
        <v>66277.317999999999</v>
      </c>
      <c r="E28" s="5">
        <v>77</v>
      </c>
      <c r="F28" s="1" t="s">
        <v>242</v>
      </c>
      <c r="G28" s="2" t="s">
        <v>33</v>
      </c>
      <c r="H28" s="2">
        <v>51</v>
      </c>
      <c r="I28" s="7" t="s">
        <v>275</v>
      </c>
      <c r="J28" s="8">
        <v>19657.988000000001</v>
      </c>
    </row>
    <row r="29" spans="1:10">
      <c r="A29" s="2" t="s">
        <v>63</v>
      </c>
      <c r="B29" s="2" t="s">
        <v>24</v>
      </c>
      <c r="C29" s="2">
        <f t="shared" si="2"/>
        <v>50</v>
      </c>
      <c r="D29" s="3">
        <f t="shared" si="3"/>
        <v>5630.7610000000004</v>
      </c>
      <c r="E29" s="5">
        <v>50</v>
      </c>
      <c r="F29" s="1" t="s">
        <v>242</v>
      </c>
      <c r="G29" s="2" t="s">
        <v>20</v>
      </c>
      <c r="H29" s="2">
        <v>55</v>
      </c>
      <c r="I29" s="7" t="s">
        <v>276</v>
      </c>
      <c r="J29" s="8">
        <v>1181.431</v>
      </c>
    </row>
    <row r="30" spans="1:10">
      <c r="A30" s="2" t="s">
        <v>65</v>
      </c>
      <c r="B30" s="2" t="s">
        <v>39</v>
      </c>
      <c r="C30" s="2" t="e">
        <f t="shared" si="2"/>
        <v>#N/A</v>
      </c>
      <c r="D30" s="3">
        <f t="shared" si="3"/>
        <v>56141.000999999997</v>
      </c>
      <c r="E30" s="5">
        <v>100</v>
      </c>
      <c r="F30" s="1" t="s">
        <v>260</v>
      </c>
      <c r="G30" s="2" t="s">
        <v>18</v>
      </c>
      <c r="H30" s="2">
        <v>34</v>
      </c>
      <c r="I30" s="7" t="s">
        <v>277</v>
      </c>
      <c r="J30" s="8">
        <v>593.78300000000002</v>
      </c>
    </row>
    <row r="31" spans="1:10">
      <c r="A31" s="2" t="s">
        <v>67</v>
      </c>
      <c r="B31" s="2" t="s">
        <v>24</v>
      </c>
      <c r="C31" s="2">
        <f t="shared" si="2"/>
        <v>100</v>
      </c>
      <c r="D31" s="3">
        <f t="shared" si="3"/>
        <v>3484.8020000000001</v>
      </c>
      <c r="E31" s="5">
        <f>E29*D31/D29</f>
        <v>30.944325287470001</v>
      </c>
      <c r="F31" s="1" t="s">
        <v>250</v>
      </c>
      <c r="G31" s="2" t="s">
        <v>278</v>
      </c>
      <c r="H31" s="2">
        <v>51</v>
      </c>
      <c r="I31" s="7" t="s">
        <v>279</v>
      </c>
      <c r="J31" s="8">
        <v>5761.8980000000001</v>
      </c>
    </row>
    <row r="32" spans="1:10">
      <c r="A32" s="2" t="s">
        <v>69</v>
      </c>
      <c r="B32" s="2" t="s">
        <v>8</v>
      </c>
      <c r="C32" s="2" t="e">
        <f t="shared" si="2"/>
        <v>#N/A</v>
      </c>
      <c r="D32" s="3">
        <f t="shared" si="3"/>
        <v>91983.998999999996</v>
      </c>
      <c r="E32" s="5">
        <f>E12*D32/D12</f>
        <v>100.257697016424</v>
      </c>
      <c r="F32" s="1" t="s">
        <v>269</v>
      </c>
      <c r="G32" s="2" t="s">
        <v>280</v>
      </c>
      <c r="H32" s="2">
        <v>3</v>
      </c>
      <c r="I32" s="7" t="s">
        <v>281</v>
      </c>
      <c r="J32" s="8">
        <v>3026.98</v>
      </c>
    </row>
    <row r="33" spans="1:10">
      <c r="A33" s="2" t="s">
        <v>71</v>
      </c>
      <c r="B33" s="2" t="s">
        <v>39</v>
      </c>
      <c r="C33" s="2" t="e">
        <f t="shared" si="2"/>
        <v>#N/A</v>
      </c>
      <c r="D33" s="3">
        <f t="shared" si="3"/>
        <v>21045.024000000001</v>
      </c>
      <c r="E33" s="5">
        <f>C18*D33/D18</f>
        <v>100.37879968492599</v>
      </c>
      <c r="F33" s="1" t="s">
        <v>282</v>
      </c>
      <c r="G33" s="2" t="s">
        <v>6</v>
      </c>
      <c r="H33" s="2">
        <v>51</v>
      </c>
      <c r="I33" s="7" t="s">
        <v>248</v>
      </c>
      <c r="J33" s="8">
        <v>1957.5530000000001</v>
      </c>
    </row>
    <row r="34" spans="1:10">
      <c r="A34" s="2" t="s">
        <v>73</v>
      </c>
      <c r="B34" s="2" t="s">
        <v>8</v>
      </c>
      <c r="C34" s="2" t="e">
        <f t="shared" si="2"/>
        <v>#N/A</v>
      </c>
      <c r="D34" s="3">
        <f t="shared" si="3"/>
        <v>6602.4459999999999</v>
      </c>
      <c r="E34" s="5">
        <f>E12*D34/D12</f>
        <v>7.1963171620240001</v>
      </c>
      <c r="F34" s="1" t="s">
        <v>269</v>
      </c>
      <c r="G34" s="2" t="s">
        <v>283</v>
      </c>
      <c r="H34" s="2">
        <v>8</v>
      </c>
      <c r="I34" s="7" t="s">
        <v>65</v>
      </c>
      <c r="J34" s="8">
        <v>56141.000999999997</v>
      </c>
    </row>
    <row r="35" spans="1:10">
      <c r="A35" s="2" t="s">
        <v>75</v>
      </c>
      <c r="B35" s="2" t="s">
        <v>24</v>
      </c>
      <c r="C35" s="2" t="e">
        <f t="shared" si="2"/>
        <v>#N/A</v>
      </c>
      <c r="D35" s="3">
        <v>3046.9250000000002</v>
      </c>
      <c r="E35" s="5">
        <f>E29*D35/D29</f>
        <v>27.0560675546343</v>
      </c>
      <c r="F35" s="1" t="s">
        <v>250</v>
      </c>
      <c r="I35" s="7" t="s">
        <v>284</v>
      </c>
      <c r="J35" s="8">
        <v>559.29300000000001</v>
      </c>
    </row>
    <row r="36" spans="1:10">
      <c r="A36" s="2" t="s">
        <v>77</v>
      </c>
      <c r="B36" s="2" t="s">
        <v>8</v>
      </c>
      <c r="C36" s="2" t="e">
        <f t="shared" si="2"/>
        <v>#N/A</v>
      </c>
      <c r="D36" s="3"/>
      <c r="E36" s="5">
        <v>100</v>
      </c>
      <c r="F36" s="10" t="s">
        <v>404</v>
      </c>
      <c r="I36" s="7" t="s">
        <v>285</v>
      </c>
      <c r="J36" s="8">
        <v>1012.359</v>
      </c>
    </row>
    <row r="37" spans="1:10">
      <c r="A37" s="2" t="s">
        <v>79</v>
      </c>
      <c r="B37" s="2" t="s">
        <v>11</v>
      </c>
      <c r="C37" s="2">
        <f t="shared" si="2"/>
        <v>4</v>
      </c>
      <c r="D37" s="3">
        <f>VLOOKUP(A37,I$3:J$196,2,FALSE)</f>
        <v>6816.5860000000002</v>
      </c>
      <c r="E37" s="5">
        <v>4</v>
      </c>
      <c r="F37" s="1" t="s">
        <v>242</v>
      </c>
      <c r="I37" s="7" t="s">
        <v>263</v>
      </c>
      <c r="J37" s="8">
        <v>17600.433000000001</v>
      </c>
    </row>
    <row r="38" spans="1:10">
      <c r="A38" s="2" t="s">
        <v>81</v>
      </c>
      <c r="B38" s="2" t="s">
        <v>24</v>
      </c>
      <c r="C38" s="2">
        <f t="shared" si="2"/>
        <v>50</v>
      </c>
      <c r="D38" s="3">
        <f>VLOOKUP(A38,I$3:J$196,2,FALSE)</f>
        <v>4621.6239999999998</v>
      </c>
      <c r="E38" s="5">
        <v>50</v>
      </c>
      <c r="F38" s="1" t="s">
        <v>242</v>
      </c>
      <c r="I38" s="7" t="s">
        <v>286</v>
      </c>
      <c r="J38" s="8">
        <v>14534.224</v>
      </c>
    </row>
    <row r="39" spans="1:10">
      <c r="A39" s="2" t="s">
        <v>83</v>
      </c>
      <c r="B39" s="2" t="s">
        <v>24</v>
      </c>
      <c r="C39" s="2" t="e">
        <f t="shared" si="2"/>
        <v>#N/A</v>
      </c>
      <c r="D39" s="3">
        <v>771.20600000000002</v>
      </c>
      <c r="E39" s="5">
        <f>E29*D39/D29</f>
        <v>6.8481507206574701</v>
      </c>
      <c r="F39" s="1" t="s">
        <v>250</v>
      </c>
      <c r="I39" s="7" t="s">
        <v>35</v>
      </c>
      <c r="J39" s="8">
        <v>8333.8549999999996</v>
      </c>
    </row>
    <row r="40" spans="1:10">
      <c r="A40" s="2" t="s">
        <v>85</v>
      </c>
      <c r="B40" s="2" t="s">
        <v>48</v>
      </c>
      <c r="C40" s="2" t="e">
        <f t="shared" si="2"/>
        <v>#N/A</v>
      </c>
      <c r="D40" s="3">
        <f t="shared" ref="D40:D45" si="4">VLOOKUP(A40,I$3:J$196,2,FALSE)</f>
        <v>3849.4870000000001</v>
      </c>
      <c r="E40" s="5">
        <f>E21*D40/D21</f>
        <v>3.1311393831604701</v>
      </c>
      <c r="F40" s="1" t="s">
        <v>267</v>
      </c>
      <c r="I40" s="7" t="s">
        <v>287</v>
      </c>
      <c r="J40" s="8">
        <v>1778.0219999999999</v>
      </c>
    </row>
    <row r="41" spans="1:10">
      <c r="A41" s="2" t="s">
        <v>87</v>
      </c>
      <c r="B41" s="2" t="s">
        <v>48</v>
      </c>
      <c r="C41" s="2">
        <f t="shared" si="2"/>
        <v>100</v>
      </c>
      <c r="D41" s="3">
        <f t="shared" si="4"/>
        <v>75551.913</v>
      </c>
      <c r="E41" s="5">
        <f>E21*D41/D21</f>
        <v>61.453271635263</v>
      </c>
      <c r="F41" s="1" t="s">
        <v>267</v>
      </c>
      <c r="I41" s="7" t="s">
        <v>288</v>
      </c>
      <c r="J41" s="8">
        <v>771.20600000000002</v>
      </c>
    </row>
    <row r="42" spans="1:10">
      <c r="A42" s="2" t="s">
        <v>89</v>
      </c>
      <c r="B42" s="2" t="s">
        <v>48</v>
      </c>
      <c r="C42" s="2" t="e">
        <f t="shared" si="2"/>
        <v>#N/A</v>
      </c>
      <c r="D42" s="3">
        <f t="shared" si="4"/>
        <v>5591.8379999999997</v>
      </c>
      <c r="E42" s="5">
        <f>E21*D42/D21</f>
        <v>4.5483525950479304</v>
      </c>
      <c r="F42" s="1" t="s">
        <v>267</v>
      </c>
      <c r="I42" s="7" t="s">
        <v>289</v>
      </c>
      <c r="J42" s="8">
        <v>2428.0990000000002</v>
      </c>
    </row>
    <row r="43" spans="1:10">
      <c r="A43" s="2" t="s">
        <v>91</v>
      </c>
      <c r="B43" s="2" t="s">
        <v>24</v>
      </c>
      <c r="C43" s="2" t="e">
        <f t="shared" si="2"/>
        <v>#N/A</v>
      </c>
      <c r="D43" s="3">
        <f t="shared" si="4"/>
        <v>6516.3429999999998</v>
      </c>
      <c r="E43" s="5">
        <f>E29*D43/D29</f>
        <v>57.863786085042499</v>
      </c>
      <c r="F43" s="1" t="s">
        <v>250</v>
      </c>
      <c r="I43" s="7" t="s">
        <v>253</v>
      </c>
      <c r="J43" s="8">
        <v>20035.57</v>
      </c>
    </row>
    <row r="44" spans="1:10">
      <c r="A44" s="2" t="s">
        <v>93</v>
      </c>
      <c r="B44" s="2" t="s">
        <v>48</v>
      </c>
      <c r="C44" s="2" t="e">
        <f t="shared" si="2"/>
        <v>#N/A</v>
      </c>
      <c r="D44" s="3">
        <f t="shared" si="4"/>
        <v>30562.895</v>
      </c>
      <c r="E44" s="5">
        <f>E21*D44/D21</f>
        <v>24.8595940700406</v>
      </c>
      <c r="F44" s="1" t="s">
        <v>267</v>
      </c>
      <c r="I44" s="7" t="s">
        <v>290</v>
      </c>
      <c r="J44" s="8">
        <v>3046.9250000000002</v>
      </c>
    </row>
    <row r="45" spans="1:10">
      <c r="A45" s="2" t="s">
        <v>95</v>
      </c>
      <c r="B45" s="2" t="s">
        <v>48</v>
      </c>
      <c r="C45" s="2" t="e">
        <f t="shared" si="2"/>
        <v>#N/A</v>
      </c>
      <c r="D45" s="3">
        <f t="shared" si="4"/>
        <v>5143.6869999999999</v>
      </c>
      <c r="E45" s="5">
        <f>E21*D45/D21</f>
        <v>4.1838304533436599</v>
      </c>
      <c r="F45" s="1" t="s">
        <v>267</v>
      </c>
      <c r="I45" s="7" t="s">
        <v>29</v>
      </c>
      <c r="J45" s="8">
        <v>27231.499</v>
      </c>
    </row>
    <row r="46" spans="1:10">
      <c r="A46" s="2" t="s">
        <v>97</v>
      </c>
      <c r="B46" s="2" t="s">
        <v>24</v>
      </c>
      <c r="C46" s="2" t="e">
        <f t="shared" si="2"/>
        <v>#N/A</v>
      </c>
      <c r="D46" s="3">
        <v>5761.8980000000001</v>
      </c>
      <c r="E46" s="5">
        <f>E29*D46/D29</f>
        <v>51.164469598336701</v>
      </c>
      <c r="F46" s="1" t="s">
        <v>250</v>
      </c>
      <c r="I46" s="7" t="s">
        <v>291</v>
      </c>
      <c r="J46" s="8">
        <v>42927.98</v>
      </c>
    </row>
    <row r="47" spans="1:10">
      <c r="A47" s="2" t="s">
        <v>99</v>
      </c>
      <c r="B47" s="2" t="s">
        <v>24</v>
      </c>
      <c r="C47" s="2" t="e">
        <f t="shared" si="2"/>
        <v>#N/A</v>
      </c>
      <c r="D47" s="3">
        <f>VLOOKUP(A47,I$3:J$196,2,FALSE)</f>
        <v>2585.6</v>
      </c>
      <c r="E47" s="5">
        <f>E29*D47/D29</f>
        <v>22.9595964026887</v>
      </c>
      <c r="F47" s="1" t="s">
        <v>250</v>
      </c>
      <c r="I47" s="7" t="s">
        <v>271</v>
      </c>
      <c r="J47" s="8">
        <v>34651.646999999997</v>
      </c>
    </row>
    <row r="48" spans="1:10">
      <c r="A48" s="2" t="s">
        <v>101</v>
      </c>
      <c r="B48" s="2" t="s">
        <v>39</v>
      </c>
      <c r="C48" s="2" t="e">
        <f t="shared" si="2"/>
        <v>#N/A</v>
      </c>
      <c r="D48" s="3">
        <v>22833</v>
      </c>
      <c r="E48" s="5">
        <v>100</v>
      </c>
      <c r="F48" s="10" t="s">
        <v>403</v>
      </c>
      <c r="I48" s="7" t="s">
        <v>51</v>
      </c>
      <c r="J48" s="8">
        <v>78341.543999999994</v>
      </c>
    </row>
    <row r="49" spans="1:10">
      <c r="A49" s="2" t="s">
        <v>103</v>
      </c>
      <c r="B49" s="2" t="s">
        <v>39</v>
      </c>
      <c r="C49" s="2" t="e">
        <f t="shared" si="2"/>
        <v>#N/A</v>
      </c>
      <c r="D49" s="3">
        <f>VLOOKUP(A49,I$3:J$196,2,FALSE)</f>
        <v>2944.9789999999998</v>
      </c>
      <c r="E49" s="5">
        <f>C18*D49/D18</f>
        <v>14.046715134053301</v>
      </c>
      <c r="F49" s="1" t="s">
        <v>282</v>
      </c>
      <c r="I49" s="7" t="s">
        <v>292</v>
      </c>
      <c r="J49" s="8">
        <v>4639.5249999999996</v>
      </c>
    </row>
    <row r="50" spans="1:10">
      <c r="A50" s="2" t="s">
        <v>105</v>
      </c>
      <c r="B50" s="2" t="s">
        <v>107</v>
      </c>
      <c r="C50" s="2" t="e">
        <f t="shared" si="2"/>
        <v>#N/A</v>
      </c>
      <c r="D50" s="3">
        <f>VLOOKUP(A50,I$3:J$196,2,FALSE)</f>
        <v>47382.544000000002</v>
      </c>
      <c r="E50" s="5">
        <f>E28*D50/D28</f>
        <v>55.048333247280802</v>
      </c>
      <c r="F50" s="10" t="s">
        <v>405</v>
      </c>
      <c r="I50" s="7" t="s">
        <v>293</v>
      </c>
      <c r="J50" s="8">
        <v>10343.291999999999</v>
      </c>
    </row>
    <row r="51" spans="1:10">
      <c r="I51" s="7" t="s">
        <v>294</v>
      </c>
      <c r="J51" s="8">
        <v>12311.254999999999</v>
      </c>
    </row>
    <row r="52" spans="1:10">
      <c r="I52" s="7" t="s">
        <v>55</v>
      </c>
      <c r="J52" s="8">
        <v>7142.6930000000002</v>
      </c>
    </row>
    <row r="53" spans="1:10">
      <c r="I53" s="7" t="s">
        <v>67</v>
      </c>
      <c r="J53" s="8">
        <v>3484.8020000000001</v>
      </c>
    </row>
    <row r="54" spans="1:10">
      <c r="I54" s="7" t="s">
        <v>295</v>
      </c>
      <c r="J54" s="8">
        <v>5964.1959999999999</v>
      </c>
    </row>
    <row r="55" spans="1:10">
      <c r="I55" s="7" t="s">
        <v>296</v>
      </c>
      <c r="J55" s="8">
        <v>7659.835</v>
      </c>
    </row>
    <row r="56" spans="1:10">
      <c r="I56" s="7" t="s">
        <v>297</v>
      </c>
      <c r="J56" s="8">
        <v>34848.195</v>
      </c>
    </row>
    <row r="57" spans="1:10">
      <c r="I57" s="7" t="s">
        <v>298</v>
      </c>
      <c r="J57" s="8">
        <v>4877.1099999999997</v>
      </c>
    </row>
    <row r="58" spans="1:10">
      <c r="I58" s="7" t="s">
        <v>299</v>
      </c>
      <c r="J58" s="8">
        <v>1240.492</v>
      </c>
    </row>
    <row r="59" spans="1:10">
      <c r="I59" s="7" t="s">
        <v>300</v>
      </c>
      <c r="J59" s="8">
        <v>7029.5429999999997</v>
      </c>
    </row>
    <row r="60" spans="1:10">
      <c r="I60" s="7" t="s">
        <v>301</v>
      </c>
      <c r="J60" s="8">
        <v>56239.277000000002</v>
      </c>
    </row>
    <row r="61" spans="1:10">
      <c r="I61" s="7" t="s">
        <v>12</v>
      </c>
      <c r="J61" s="8">
        <v>48210.896999999997</v>
      </c>
    </row>
    <row r="62" spans="1:10">
      <c r="I62" s="7" t="s">
        <v>302</v>
      </c>
      <c r="J62" s="8">
        <v>8880.6830000000009</v>
      </c>
    </row>
    <row r="63" spans="1:10">
      <c r="I63" s="7" t="s">
        <v>303</v>
      </c>
      <c r="J63" s="8">
        <v>1016.62</v>
      </c>
    </row>
    <row r="64" spans="1:10">
      <c r="I64" s="7" t="s">
        <v>304</v>
      </c>
      <c r="J64" s="8">
        <v>9961.1890000000003</v>
      </c>
    </row>
    <row r="65" spans="9:10">
      <c r="I65" s="7" t="s">
        <v>27</v>
      </c>
      <c r="J65" s="8">
        <v>57800.968000000001</v>
      </c>
    </row>
    <row r="66" spans="9:10">
      <c r="I66" s="7" t="s">
        <v>99</v>
      </c>
      <c r="J66" s="8">
        <v>2585.6</v>
      </c>
    </row>
    <row r="67" spans="9:10">
      <c r="I67" s="7" t="s">
        <v>305</v>
      </c>
      <c r="J67" s="8">
        <v>26980.644</v>
      </c>
    </row>
    <row r="68" spans="9:10">
      <c r="I68" s="7" t="s">
        <v>306</v>
      </c>
      <c r="J68" s="8">
        <v>13195.721</v>
      </c>
    </row>
    <row r="69" spans="9:10">
      <c r="I69" s="7" t="s">
        <v>307</v>
      </c>
      <c r="J69" s="8">
        <v>7157.8130000000001</v>
      </c>
    </row>
    <row r="70" spans="9:10">
      <c r="I70" s="7" t="s">
        <v>308</v>
      </c>
      <c r="J70" s="8">
        <v>2175.5129999999999</v>
      </c>
    </row>
    <row r="71" spans="9:10">
      <c r="I71" s="7" t="s">
        <v>309</v>
      </c>
      <c r="J71" s="8">
        <v>1190.1859999999999</v>
      </c>
    </row>
    <row r="72" spans="9:10">
      <c r="I72" s="7" t="s">
        <v>310</v>
      </c>
      <c r="J72" s="8">
        <v>35155.957000000002</v>
      </c>
    </row>
    <row r="73" spans="9:10">
      <c r="I73" s="7" t="s">
        <v>103</v>
      </c>
      <c r="J73" s="8">
        <v>2944.9789999999998</v>
      </c>
    </row>
    <row r="74" spans="9:10">
      <c r="I74" s="7" t="s">
        <v>255</v>
      </c>
      <c r="J74" s="8">
        <v>3600.1089999999999</v>
      </c>
    </row>
    <row r="75" spans="9:10">
      <c r="I75" s="7" t="s">
        <v>311</v>
      </c>
      <c r="J75" s="8">
        <v>57648.752999999997</v>
      </c>
    </row>
    <row r="76" spans="9:10">
      <c r="I76" s="7" t="s">
        <v>312</v>
      </c>
      <c r="J76" s="8">
        <v>26550.602999999999</v>
      </c>
    </row>
    <row r="77" spans="9:10">
      <c r="I77" s="7" t="s">
        <v>313</v>
      </c>
      <c r="J77" s="8">
        <v>95851.733999999997</v>
      </c>
    </row>
    <row r="78" spans="9:10">
      <c r="I78" s="7" t="s">
        <v>314</v>
      </c>
      <c r="J78" s="8">
        <v>3135.9920000000002</v>
      </c>
    </row>
    <row r="79" spans="9:10">
      <c r="I79" s="7" t="s">
        <v>315</v>
      </c>
      <c r="J79" s="8">
        <v>5344.9340000000002</v>
      </c>
    </row>
    <row r="80" spans="9:10">
      <c r="I80" s="7" t="s">
        <v>316</v>
      </c>
      <c r="J80" s="8">
        <v>4086.2429999999999</v>
      </c>
    </row>
    <row r="81" spans="9:10">
      <c r="I81" s="7" t="s">
        <v>89</v>
      </c>
      <c r="J81" s="8">
        <v>5591.8379999999997</v>
      </c>
    </row>
    <row r="82" spans="9:10">
      <c r="I82" s="7" t="s">
        <v>317</v>
      </c>
      <c r="J82" s="8">
        <v>112169.128</v>
      </c>
    </row>
    <row r="83" spans="9:10">
      <c r="I83" s="7" t="s">
        <v>318</v>
      </c>
      <c r="J83" s="8">
        <v>59701.461000000003</v>
      </c>
    </row>
    <row r="84" spans="9:10">
      <c r="I84" s="7" t="s">
        <v>33</v>
      </c>
      <c r="J84" s="8">
        <v>42511.631999999998</v>
      </c>
    </row>
    <row r="85" spans="9:10">
      <c r="I85" s="7" t="s">
        <v>319</v>
      </c>
      <c r="J85" s="8">
        <v>8060.3919999999998</v>
      </c>
    </row>
    <row r="86" spans="9:10">
      <c r="I86" s="7" t="s">
        <v>46</v>
      </c>
      <c r="J86" s="8">
        <v>35653.195</v>
      </c>
    </row>
    <row r="87" spans="9:10">
      <c r="I87" s="7" t="s">
        <v>95</v>
      </c>
      <c r="J87" s="8">
        <v>5143.6869999999999</v>
      </c>
    </row>
    <row r="88" spans="9:10">
      <c r="I88" s="7" t="s">
        <v>320</v>
      </c>
      <c r="J88" s="8">
        <v>15808.717000000001</v>
      </c>
    </row>
    <row r="89" spans="9:10">
      <c r="I89" s="7" t="s">
        <v>321</v>
      </c>
      <c r="J89" s="8">
        <v>2358.027</v>
      </c>
    </row>
    <row r="90" spans="9:10">
      <c r="I90" s="7" t="s">
        <v>322</v>
      </c>
      <c r="J90" s="8">
        <v>2487.4679999999998</v>
      </c>
    </row>
    <row r="91" spans="9:10">
      <c r="I91" s="7" t="s">
        <v>323</v>
      </c>
      <c r="J91" s="8">
        <v>35880.214999999997</v>
      </c>
    </row>
    <row r="92" spans="9:10">
      <c r="I92" s="7" t="s">
        <v>324</v>
      </c>
      <c r="J92" s="8">
        <v>7599.9170000000004</v>
      </c>
    </row>
    <row r="93" spans="9:10">
      <c r="I93" s="7" t="s">
        <v>325</v>
      </c>
      <c r="J93" s="8">
        <v>29911.412</v>
      </c>
    </row>
    <row r="94" spans="9:10">
      <c r="I94" s="7" t="s">
        <v>326</v>
      </c>
      <c r="J94" s="8">
        <v>2878.8679999999999</v>
      </c>
    </row>
    <row r="95" spans="9:10">
      <c r="I95" s="7" t="s">
        <v>327</v>
      </c>
      <c r="J95" s="8">
        <v>2123.6379999999999</v>
      </c>
    </row>
    <row r="96" spans="9:10">
      <c r="I96" s="7" t="s">
        <v>328</v>
      </c>
      <c r="J96" s="8">
        <v>25934.839</v>
      </c>
    </row>
    <row r="97" spans="9:10">
      <c r="I97" s="7" t="s">
        <v>329</v>
      </c>
      <c r="J97" s="8">
        <v>1128.2159999999999</v>
      </c>
    </row>
    <row r="98" spans="9:10">
      <c r="I98" s="7" t="s">
        <v>330</v>
      </c>
      <c r="J98" s="8">
        <v>942.41</v>
      </c>
    </row>
    <row r="99" spans="9:10">
      <c r="I99" s="7" t="s">
        <v>331</v>
      </c>
      <c r="J99" s="8">
        <v>6908.9939999999997</v>
      </c>
    </row>
    <row r="100" spans="9:10">
      <c r="I100" s="7" t="s">
        <v>332</v>
      </c>
      <c r="J100" s="8">
        <v>32556.704000000002</v>
      </c>
    </row>
    <row r="101" spans="9:10">
      <c r="I101" s="7" t="s">
        <v>333</v>
      </c>
      <c r="J101" s="8">
        <v>143649.06200000001</v>
      </c>
    </row>
    <row r="102" spans="9:10">
      <c r="I102" s="7" t="s">
        <v>334</v>
      </c>
      <c r="J102" s="8">
        <v>79384.748000000007</v>
      </c>
    </row>
    <row r="103" spans="9:10">
      <c r="I103" s="7" t="s">
        <v>335</v>
      </c>
      <c r="J103" s="8">
        <v>621.88900000000001</v>
      </c>
    </row>
    <row r="104" spans="9:10">
      <c r="I104" s="7" t="s">
        <v>336</v>
      </c>
      <c r="J104" s="8">
        <v>591.197</v>
      </c>
    </row>
    <row r="105" spans="9:10">
      <c r="I105" s="7" t="s">
        <v>337</v>
      </c>
      <c r="J105" s="8">
        <v>13878.99</v>
      </c>
    </row>
    <row r="106" spans="9:10">
      <c r="I106" s="7" t="s">
        <v>338</v>
      </c>
      <c r="J106" s="8">
        <v>19437.473000000002</v>
      </c>
    </row>
    <row r="107" spans="9:10">
      <c r="I107" s="7" t="s">
        <v>339</v>
      </c>
      <c r="J107" s="8">
        <v>970.59900000000005</v>
      </c>
    </row>
    <row r="108" spans="9:10">
      <c r="I108" s="7" t="s">
        <v>340</v>
      </c>
      <c r="J108" s="8">
        <v>47938.495999999999</v>
      </c>
    </row>
    <row r="109" spans="9:10">
      <c r="I109" s="7" t="s">
        <v>341</v>
      </c>
      <c r="J109" s="8">
        <v>8970.0030000000006</v>
      </c>
    </row>
    <row r="110" spans="9:10">
      <c r="I110" s="7" t="s">
        <v>342</v>
      </c>
      <c r="J110" s="8">
        <v>2523.0439999999999</v>
      </c>
    </row>
    <row r="111" spans="9:10">
      <c r="I111" s="7" t="s">
        <v>343</v>
      </c>
      <c r="J111" s="8">
        <v>13267.948</v>
      </c>
    </row>
    <row r="112" spans="9:10">
      <c r="I112" s="7" t="s">
        <v>40</v>
      </c>
      <c r="J112" s="8">
        <v>13208.332</v>
      </c>
    </row>
    <row r="113" spans="9:10">
      <c r="I113" s="7" t="s">
        <v>344</v>
      </c>
      <c r="J113" s="8">
        <v>5529.424</v>
      </c>
    </row>
    <row r="114" spans="9:10">
      <c r="I114" s="7" t="s">
        <v>345</v>
      </c>
      <c r="J114" s="8">
        <v>8996.4809999999998</v>
      </c>
    </row>
    <row r="115" spans="9:10">
      <c r="I115" s="7" t="s">
        <v>346</v>
      </c>
      <c r="J115" s="8">
        <v>7723.6040000000003</v>
      </c>
    </row>
    <row r="116" spans="9:10">
      <c r="I116" s="7" t="s">
        <v>347</v>
      </c>
      <c r="J116" s="8">
        <v>14439.092000000001</v>
      </c>
    </row>
    <row r="117" spans="9:10">
      <c r="I117" s="7" t="s">
        <v>22</v>
      </c>
      <c r="J117" s="8">
        <v>4640.915</v>
      </c>
    </row>
    <row r="118" spans="9:10">
      <c r="I118" s="7" t="s">
        <v>348</v>
      </c>
      <c r="J118" s="8">
        <v>689.57399999999996</v>
      </c>
    </row>
    <row r="119" spans="9:10">
      <c r="I119" s="7" t="s">
        <v>349</v>
      </c>
      <c r="J119" s="8">
        <v>1269.6759999999999</v>
      </c>
    </row>
    <row r="120" spans="9:10">
      <c r="I120" s="7" t="s">
        <v>350</v>
      </c>
      <c r="J120" s="8">
        <v>4888.1210000000001</v>
      </c>
    </row>
    <row r="121" spans="9:10">
      <c r="I121" s="7" t="s">
        <v>351</v>
      </c>
      <c r="J121" s="8">
        <v>12809.713</v>
      </c>
    </row>
    <row r="122" spans="9:10">
      <c r="I122" s="7" t="s">
        <v>352</v>
      </c>
      <c r="J122" s="8">
        <v>1551.646</v>
      </c>
    </row>
    <row r="123" spans="9:10">
      <c r="I123" s="7" t="s">
        <v>20</v>
      </c>
      <c r="J123" s="8">
        <v>73091.214000000007</v>
      </c>
    </row>
    <row r="124" spans="9:10">
      <c r="I124" s="7" t="s">
        <v>105</v>
      </c>
      <c r="J124" s="8">
        <v>47382.544000000002</v>
      </c>
    </row>
    <row r="125" spans="9:10">
      <c r="I125" s="7" t="s">
        <v>353</v>
      </c>
      <c r="J125" s="8">
        <v>3199.9560000000001</v>
      </c>
    </row>
    <row r="126" spans="9:10">
      <c r="I126" s="7" t="s">
        <v>354</v>
      </c>
      <c r="J126" s="8">
        <v>799.51499999999999</v>
      </c>
    </row>
    <row r="127" spans="9:10">
      <c r="I127" s="7" t="s">
        <v>252</v>
      </c>
      <c r="J127" s="8">
        <v>804.51199999999994</v>
      </c>
    </row>
    <row r="128" spans="9:10">
      <c r="I128" s="7" t="s">
        <v>355</v>
      </c>
      <c r="J128" s="8">
        <v>10581.928</v>
      </c>
    </row>
    <row r="129" spans="9:10">
      <c r="I129" s="7" t="s">
        <v>69</v>
      </c>
      <c r="J129" s="8">
        <v>91983.998999999996</v>
      </c>
    </row>
    <row r="130" spans="9:10">
      <c r="I130" s="7" t="s">
        <v>356</v>
      </c>
      <c r="J130" s="8">
        <v>18904.488000000001</v>
      </c>
    </row>
    <row r="131" spans="9:10">
      <c r="I131" s="7" t="s">
        <v>357</v>
      </c>
      <c r="J131" s="8">
        <v>20145.755000000001</v>
      </c>
    </row>
    <row r="132" spans="9:10">
      <c r="I132" s="7" t="s">
        <v>71</v>
      </c>
      <c r="J132" s="8">
        <v>21045.024000000001</v>
      </c>
    </row>
    <row r="133" spans="9:10">
      <c r="I133" s="7" t="s">
        <v>358</v>
      </c>
      <c r="J133" s="8">
        <v>2595.2060000000001</v>
      </c>
    </row>
    <row r="134" spans="9:10">
      <c r="I134" s="7" t="s">
        <v>79</v>
      </c>
      <c r="J134" s="8">
        <v>6816.5860000000002</v>
      </c>
    </row>
    <row r="135" spans="9:10">
      <c r="I135" s="7" t="s">
        <v>359</v>
      </c>
      <c r="J135" s="8">
        <v>9181.7939999999999</v>
      </c>
    </row>
    <row r="136" spans="9:10">
      <c r="I136" s="7" t="s">
        <v>360</v>
      </c>
      <c r="J136" s="8">
        <v>4661.2049999999999</v>
      </c>
    </row>
    <row r="137" spans="9:10">
      <c r="I137" s="7" t="s">
        <v>361</v>
      </c>
      <c r="J137" s="8">
        <v>28520.659</v>
      </c>
    </row>
    <row r="138" spans="9:10">
      <c r="I138" s="7" t="s">
        <v>18</v>
      </c>
      <c r="J138" s="8">
        <v>31465.404999999999</v>
      </c>
    </row>
    <row r="139" spans="9:10">
      <c r="I139" s="7" t="s">
        <v>362</v>
      </c>
      <c r="J139" s="8">
        <v>39512.555999999997</v>
      </c>
    </row>
    <row r="140" spans="9:10">
      <c r="I140" s="7" t="s">
        <v>87</v>
      </c>
      <c r="J140" s="8">
        <v>75551.913</v>
      </c>
    </row>
    <row r="141" spans="9:10">
      <c r="I141" s="7" t="s">
        <v>363</v>
      </c>
      <c r="J141" s="8">
        <v>22676.108</v>
      </c>
    </row>
    <row r="142" spans="9:10">
      <c r="I142" s="7" t="s">
        <v>278</v>
      </c>
      <c r="J142" s="8">
        <v>14364.549000000001</v>
      </c>
    </row>
    <row r="143" spans="9:10">
      <c r="I143" s="7" t="s">
        <v>364</v>
      </c>
      <c r="J143" s="8">
        <v>1069.1959999999999</v>
      </c>
    </row>
    <row r="144" spans="9:10">
      <c r="I144" s="7" t="s">
        <v>365</v>
      </c>
      <c r="J144" s="8">
        <v>5708.902</v>
      </c>
    </row>
    <row r="145" spans="9:10">
      <c r="I145" s="7" t="s">
        <v>366</v>
      </c>
      <c r="J145" s="8">
        <v>61373.883999999998</v>
      </c>
    </row>
    <row r="146" spans="9:10">
      <c r="I146" s="7" t="s">
        <v>367</v>
      </c>
      <c r="J146" s="8">
        <v>3743.2620000000002</v>
      </c>
    </row>
    <row r="147" spans="9:10">
      <c r="I147" s="7" t="s">
        <v>93</v>
      </c>
      <c r="J147" s="8">
        <v>30562.895</v>
      </c>
    </row>
    <row r="148" spans="9:10">
      <c r="I148" s="7" t="s">
        <v>31</v>
      </c>
      <c r="J148" s="8">
        <v>1867.24</v>
      </c>
    </row>
    <row r="149" spans="9:10">
      <c r="I149" s="7" t="s">
        <v>280</v>
      </c>
      <c r="J149" s="8">
        <v>15415.793</v>
      </c>
    </row>
    <row r="150" spans="9:10">
      <c r="I150" s="7" t="s">
        <v>368</v>
      </c>
      <c r="J150" s="8">
        <v>22280.383000000002</v>
      </c>
    </row>
    <row r="151" spans="9:10">
      <c r="I151" s="7" t="s">
        <v>369</v>
      </c>
      <c r="J151" s="8">
        <v>933.66099999999994</v>
      </c>
    </row>
    <row r="152" spans="9:10">
      <c r="I152" s="7" t="s">
        <v>370</v>
      </c>
      <c r="J152" s="8">
        <v>95729.27</v>
      </c>
    </row>
    <row r="153" spans="9:10">
      <c r="I153" s="7" t="s">
        <v>371</v>
      </c>
      <c r="J153" s="8">
        <v>28663.351999999999</v>
      </c>
    </row>
    <row r="154" spans="9:10">
      <c r="I154" s="7" t="s">
        <v>372</v>
      </c>
      <c r="J154" s="8">
        <v>37112.841999999997</v>
      </c>
    </row>
    <row r="155" spans="9:10">
      <c r="I155" s="7" t="s">
        <v>373</v>
      </c>
      <c r="J155" s="8">
        <v>2485.1329999999998</v>
      </c>
    </row>
    <row r="156" spans="9:10">
      <c r="I156" s="7" t="s">
        <v>374</v>
      </c>
      <c r="J156" s="8">
        <v>811.09100000000001</v>
      </c>
    </row>
    <row r="157" spans="9:10">
      <c r="I157" s="7" t="s">
        <v>91</v>
      </c>
      <c r="J157" s="8">
        <v>6516.3429999999998</v>
      </c>
    </row>
    <row r="158" spans="9:10">
      <c r="I158" s="7" t="s">
        <v>375</v>
      </c>
      <c r="J158" s="8">
        <v>396.43299999999999</v>
      </c>
    </row>
    <row r="159" spans="9:10">
      <c r="I159" s="7" t="s">
        <v>6</v>
      </c>
      <c r="J159" s="8">
        <v>37488.718000000001</v>
      </c>
    </row>
    <row r="160" spans="9:10">
      <c r="I160" s="7" t="s">
        <v>376</v>
      </c>
      <c r="J160" s="8">
        <v>22762.665000000001</v>
      </c>
    </row>
    <row r="161" spans="9:10">
      <c r="I161" s="7" t="s">
        <v>377</v>
      </c>
      <c r="J161" s="8">
        <v>15071.324000000001</v>
      </c>
    </row>
    <row r="162" spans="9:10">
      <c r="I162" s="7" t="s">
        <v>378</v>
      </c>
      <c r="J162" s="8">
        <v>11700.245999999999</v>
      </c>
    </row>
    <row r="163" spans="9:10">
      <c r="I163" s="7" t="s">
        <v>379</v>
      </c>
      <c r="J163" s="8">
        <v>702.93499999999995</v>
      </c>
    </row>
    <row r="164" spans="9:10">
      <c r="I164" s="7" t="s">
        <v>380</v>
      </c>
      <c r="J164" s="8">
        <v>7022.9229999999998</v>
      </c>
    </row>
    <row r="165" spans="9:10">
      <c r="I165" s="7" t="s">
        <v>283</v>
      </c>
      <c r="J165" s="8">
        <v>60358.095000000001</v>
      </c>
    </row>
    <row r="166" spans="9:10">
      <c r="I166" s="7" t="s">
        <v>44</v>
      </c>
      <c r="J166" s="8">
        <v>108928.603</v>
      </c>
    </row>
    <row r="167" spans="9:10">
      <c r="I167" s="7" t="s">
        <v>381</v>
      </c>
      <c r="J167" s="8">
        <v>36318.661999999997</v>
      </c>
    </row>
    <row r="168" spans="9:10">
      <c r="I168" s="7" t="s">
        <v>382</v>
      </c>
      <c r="J168" s="8">
        <v>1527.38</v>
      </c>
    </row>
    <row r="169" spans="9:10">
      <c r="I169" s="7" t="s">
        <v>383</v>
      </c>
      <c r="J169" s="8">
        <v>1351.9369999999999</v>
      </c>
    </row>
    <row r="170" spans="9:10">
      <c r="I170" s="7" t="s">
        <v>384</v>
      </c>
      <c r="J170" s="8">
        <v>7911.66</v>
      </c>
    </row>
    <row r="171" spans="9:10">
      <c r="I171" s="7" t="s">
        <v>385</v>
      </c>
      <c r="J171" s="8">
        <v>1562.86</v>
      </c>
    </row>
    <row r="172" spans="9:10">
      <c r="I172" s="7" t="s">
        <v>386</v>
      </c>
      <c r="J172" s="8">
        <v>1104.1679999999999</v>
      </c>
    </row>
    <row r="173" spans="9:10">
      <c r="I173" s="7" t="s">
        <v>387</v>
      </c>
      <c r="J173" s="8">
        <v>5974.8469999999998</v>
      </c>
    </row>
    <row r="174" spans="9:10">
      <c r="I174" s="7" t="s">
        <v>388</v>
      </c>
      <c r="J174" s="8">
        <v>18650.108</v>
      </c>
    </row>
    <row r="175" spans="9:10">
      <c r="I175" s="7" t="s">
        <v>81</v>
      </c>
      <c r="J175" s="8">
        <v>4621.6239999999998</v>
      </c>
    </row>
    <row r="176" spans="9:10">
      <c r="I176" s="7" t="s">
        <v>389</v>
      </c>
      <c r="J176" s="8">
        <v>16211.692999999999</v>
      </c>
    </row>
    <row r="177" spans="9:10">
      <c r="I177" s="7" t="s">
        <v>390</v>
      </c>
      <c r="J177" s="8">
        <v>14366.59</v>
      </c>
    </row>
    <row r="178" spans="9:10">
      <c r="I178" s="7" t="s">
        <v>391</v>
      </c>
      <c r="J178" s="8">
        <v>6778.1760000000004</v>
      </c>
    </row>
    <row r="179" spans="9:10">
      <c r="I179" s="7" t="s">
        <v>392</v>
      </c>
      <c r="J179" s="8">
        <v>1436.875</v>
      </c>
    </row>
    <row r="180" spans="9:10">
      <c r="I180" s="7" t="s">
        <v>73</v>
      </c>
      <c r="J180" s="8">
        <v>6602.4459999999999</v>
      </c>
    </row>
    <row r="181" spans="9:10">
      <c r="I181" s="7" t="s">
        <v>393</v>
      </c>
      <c r="J181" s="8">
        <v>51715.485999999997</v>
      </c>
    </row>
    <row r="182" spans="9:10">
      <c r="I182" s="7" t="s">
        <v>394</v>
      </c>
      <c r="J182" s="8">
        <v>57386.692999999999</v>
      </c>
    </row>
    <row r="183" spans="9:10">
      <c r="I183" s="7" t="s">
        <v>37</v>
      </c>
      <c r="J183" s="8">
        <v>92096.548999999999</v>
      </c>
    </row>
    <row r="184" spans="9:10">
      <c r="I184" s="7" t="s">
        <v>42</v>
      </c>
      <c r="J184" s="8">
        <v>24191.019</v>
      </c>
    </row>
    <row r="185" spans="9:10">
      <c r="I185" s="7" t="s">
        <v>85</v>
      </c>
      <c r="J185" s="8">
        <v>3849.4870000000001</v>
      </c>
    </row>
    <row r="186" spans="9:10">
      <c r="I186" s="7" t="s">
        <v>395</v>
      </c>
      <c r="J186" s="8">
        <v>3615.056</v>
      </c>
    </row>
    <row r="187" spans="9:10">
      <c r="I187" s="7" t="s">
        <v>396</v>
      </c>
      <c r="J187" s="8">
        <v>3757.1819999999998</v>
      </c>
    </row>
    <row r="188" spans="9:10">
      <c r="I188" s="7" t="s">
        <v>397</v>
      </c>
      <c r="J188" s="8">
        <v>5041.8869999999997</v>
      </c>
    </row>
    <row r="189" spans="9:10">
      <c r="I189" s="7" t="s">
        <v>398</v>
      </c>
      <c r="J189" s="8">
        <v>402.334</v>
      </c>
    </row>
    <row r="190" spans="9:10">
      <c r="I190" s="7" t="s">
        <v>399</v>
      </c>
      <c r="J190" s="8">
        <v>1536.25</v>
      </c>
    </row>
    <row r="191" spans="9:10">
      <c r="I191" s="7" t="s">
        <v>400</v>
      </c>
      <c r="J191" s="8">
        <v>2227.5529999999999</v>
      </c>
    </row>
    <row r="192" spans="9:10">
      <c r="I192" s="7" t="s">
        <v>397</v>
      </c>
      <c r="J192" s="9">
        <v>5041.8869999999997</v>
      </c>
    </row>
    <row r="193" spans="9:10">
      <c r="I193" s="7" t="s">
        <v>401</v>
      </c>
      <c r="J193" s="7" t="s">
        <v>402</v>
      </c>
    </row>
    <row r="194" spans="9:10">
      <c r="I194" s="7" t="s">
        <v>398</v>
      </c>
      <c r="J194" s="7">
        <v>402.334</v>
      </c>
    </row>
    <row r="195" spans="9:10">
      <c r="I195" s="7" t="s">
        <v>399</v>
      </c>
      <c r="J195" s="9">
        <v>1536.25</v>
      </c>
    </row>
    <row r="196" spans="9:10">
      <c r="I196" s="7" t="s">
        <v>400</v>
      </c>
      <c r="J196" s="9">
        <v>2227.5529999999999</v>
      </c>
    </row>
  </sheetData>
  <mergeCells count="3">
    <mergeCell ref="A1:F1"/>
    <mergeCell ref="G1:H1"/>
    <mergeCell ref="I1:J1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Teams</vt:lpstr>
      <vt:lpstr>Row-set</vt:lpstr>
      <vt:lpstr>Stadiums</vt:lpstr>
      <vt:lpstr>Spectator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Enterprise-CV6</dc:creator>
  <cp:lastModifiedBy>KU, SEN-YUN (PGT)</cp:lastModifiedBy>
  <dcterms:created xsi:type="dcterms:W3CDTF">2015-06-05T20:19:00Z</dcterms:created>
  <dcterms:modified xsi:type="dcterms:W3CDTF">2026-03-07T12:25:29Z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1033-6.10.1.8873</vt:lpwstr>
  </property>
  <property fmtid="{D5CDD505-2E9C-101B-9397-08002B2CF9AE}" pid="3" name="ICV">
    <vt:lpwstr>AC407B0211D9A4F35C3DA769C3D08CF3_43</vt:lpwstr>
  </property>
</Properties>
</file>